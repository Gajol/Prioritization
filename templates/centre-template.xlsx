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5C7EC2D5-F8A1-4570-8202-4C51FB651DEB}"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Assistance">PriorityAssistance[Title]</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5" i="1"/>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9EF490-2467-48AC-9786-0529C0BF956D}" keepAlive="1" name="Connection" type="5" refreshedVersion="8" saveData="1">
    <dbPr connection="Provider=Microsoft.Mashup.OleDb.1;Data Source=$Workbook$;Location=Centres;Extended Properties=&quot;&quot;" command="SELECT * FROM [Centres]"/>
  </connection>
  <connection id="2" xr16:uid="{536DA05B-EE1C-40C8-AFD6-6D4B8E292839}" keepAlive="1" name="Connection1" type="5" refreshedVersion="8" saveData="1">
    <dbPr connection="Provider=Microsoft.Mashup.OleDb.1;Data Source=$Workbook$;Location=Position;Extended Properties=&quot;&quot;" command="SELECT * FROM [Position]"/>
  </connection>
  <connection id="3" xr16:uid="{9504D75E-C4E5-49A7-B14E-F950ECDDFAEE}" keepAlive="1" name="Connection10" type="5" refreshedVersion="8" saveData="1">
    <dbPr connection="Provider=Microsoft.Mashup.OleDb.1;Data Source=$Workbook$;Location=InitiativeScores;Extended Properties=&quot;&quot;" command="SELECT * FROM [InitiativeScores]"/>
  </connection>
  <connection id="4" xr16:uid="{423A59DE-E06C-4240-BD88-009C19BB4212}" keepAlive="1" name="Connection11" type="5" refreshedVersion="8" saveData="1">
    <dbPr connection="Provider=Microsoft.Mashup.OleDb.1;Data Source=$Workbook$;Location=AssistanceScores;Extended Properties=&quot;&quot;" command="SELECT * FROM [AssistanceScores]"/>
  </connection>
  <connection id="5" xr16:uid="{9B26D777-0CD1-4872-9A2C-01BDE6CFE456}" keepAlive="1" name="Connection2" type="5" refreshedVersion="8" saveData="1">
    <dbPr connection="Provider=Microsoft.Mashup.OleDb.1;Data Source=$Workbook$;Location=ProblemSet;Extended Properties=&quot;&quot;" command="SELECT * FROM [ProblemSet]"/>
  </connection>
  <connection id="6" xr16:uid="{05311F37-9657-45D5-B8B0-8DE40F6153A7}" keepAlive="1" name="Connection3" type="5" refreshedVersion="8" saveData="1">
    <dbPr connection="Provider=Microsoft.Mashup.OleDb.1;Data Source=$Workbook$;Location=InitiativeType;Extended Properties=&quot;&quot;" command="SELECT * FROM [InitiativeType]"/>
  </connection>
  <connection id="7" xr16:uid="{80144DB4-16EA-478E-9C0F-3A7580617FF0}" keepAlive="1" name="Connection4" type="5" refreshedVersion="8" saveData="1">
    <dbPr connection="Provider=Microsoft.Mashup.OleDb.1;Data Source=$Workbook$;Location=AssistanceType;Extended Properties=&quot;&quot;" command="SELECT * FROM [AssistanceType]"/>
  </connection>
  <connection id="8" xr16:uid="{EBC092C0-84BE-4DE3-B862-0D0FC8D68DBE}" keepAlive="1" name="Connection5" type="5" refreshedVersion="8" saveData="1">
    <dbPr connection="Provider=Microsoft.Mashup.OleDb.1;Data Source=$Workbook$;Location=Resources;Extended Properties=&quot;&quot;" command="SELECT * FROM [Resources]"/>
  </connection>
  <connection id="9" xr16:uid="{A854A9C1-D8E2-4A60-9A54-C0303B67E7E7}" keepAlive="1" name="Connection6" type="5" refreshedVersion="8" saveData="1">
    <dbPr connection="Provider=Microsoft.Mashup.OleDb.1;Data Source=$Workbook$;Location=PriorityTactical;Extended Properties=&quot;&quot;" command="SELECT * FROM [PriorityTactical]"/>
  </connection>
  <connection id="10" xr16:uid="{0A908964-9607-4354-864D-1674381D5C84}" keepAlive="1" name="Connection7" type="5" refreshedVersion="8" saveData="1">
    <dbPr connection="Provider=Microsoft.Mashup.OleDb.1;Data Source=$Workbook$;Location=PriorityInitiative;Extended Properties=&quot;&quot;" command="SELECT * FROM [PriorityInitiative]"/>
  </connection>
  <connection id="11" xr16:uid="{B882A8EE-58A5-447F-9639-2B525C8D0AE1}" keepAlive="1" name="Connection8" type="5" refreshedVersion="8" saveData="1">
    <dbPr connection="Provider=Microsoft.Mashup.OleDb.1;Data Source=$Workbook$;Location=PriorityAssistance;Extended Properties=&quot;&quot;" command="SELECT * FROM [PriorityAssistance]"/>
  </connection>
  <connection id="12" xr16:uid="{EAEC16E7-900D-4D85-98E5-20FD3EA6B34F}" keepAlive="1" name="Connection9" type="5" refreshedVersion="8" saveData="1">
    <dbPr connection="Provider=Microsoft.Mashup.OleDb.1;Data Source=$Workbook$;Location=TacticalScores;Extended Properties=&quot;&quot;" command="SELECT * FROM [TacticalScores]"/>
  </connection>
</connections>
</file>

<file path=xl/sharedStrings.xml><?xml version="1.0" encoding="utf-8"?>
<sst xmlns="http://schemas.openxmlformats.org/spreadsheetml/2006/main" count="801" uniqueCount="271">
  <si>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</si>
  <si>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</si>
  <si>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</si>
  <si>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</si>
  <si>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</si>
  <si>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</si>
  <si>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</si>
  <si>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</si>
  <si>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</si>
  <si>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</si>
  <si>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</si>
  <si>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</si>
  <si>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</si>
  <si>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</si>
  <si>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</si>
  <si>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</si>
  <si>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</si>
  <si>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</si>
  <si>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</si>
  <si>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</si>
  <si>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</si>
  <si>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</si>
  <si>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</si>
  <si>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</si>
  <si>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</si>
  <si>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</si>
  <si>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</si>
  <si>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</si>
  <si>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</si>
  <si>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</si>
  <si>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</si>
  <si>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</si>
  <si>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</si>
  <si>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Example Centre</t>
  </si>
  <si>
    <t>Centre Code:</t>
  </si>
  <si>
    <t>EX</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</si>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</sst>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11" fillId="17" borderId="0" xfId="0" applyFont="1" applyFill="1" applyAlignment="1">
      <alignment horizontal="center"/>
    </xf>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color rgb="FF006100"/>
        <name val="Arial"/>
      </font>
      <numFmt numFmtId="164" formatCode="0%&quot; ok&quot;"/>
      <fill>
        <patternFill patternType="solid">
          <fgColor rgb="FFC6EFCE"/>
          <bgColor rgb="FFC6EFCE"/>
        </patternFill>
      </fill>
    </dxf>
    <dxf>
      <font>
        <color rgb="FF9C0006"/>
        <name val="Arial"/>
      </font>
      <numFmt numFmtId="165"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4" formatCode="0%&quot; ok&quot;"/>
      <fill>
        <patternFill patternType="solid">
          <fgColor rgb="FFC6EFCE"/>
          <bgColor rgb="FFC6EFCE"/>
        </patternFill>
      </fill>
    </dxf>
    <dxf>
      <font>
        <color rgb="FF8A5900"/>
        <name val="Arial"/>
      </font>
      <numFmt numFmtId="166" formatCode="0%&quot; under&quot;"/>
      <fill>
        <patternFill patternType="solid">
          <fgColor rgb="FFFFEB9C"/>
          <bgColor rgb="FFFFEB9C"/>
        </patternFill>
      </fill>
    </dxf>
    <dxf>
      <font>
        <color rgb="FF9C0006"/>
        <name val="Arial"/>
      </font>
      <numFmt numFmtId="165"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4" formatCode="0%&quot; ok&quot;"/>
      <fill>
        <patternFill patternType="solid">
          <fgColor rgb="FFC6EFCE"/>
          <bgColor rgb="FFC6EFCE"/>
        </patternFill>
      </fill>
    </dxf>
    <dxf>
      <font>
        <color rgb="FF8A5900"/>
        <name val="Arial"/>
      </font>
      <numFmt numFmtId="166" formatCode="0%&quot; under&quot;"/>
      <fill>
        <patternFill patternType="solid">
          <fgColor rgb="FFFFEB9C"/>
          <bgColor rgb="FFFFEB9C"/>
        </patternFill>
      </fill>
    </dxf>
    <dxf>
      <font>
        <color rgb="FF9C0006"/>
        <name val="Arial"/>
      </font>
      <numFmt numFmtId="165"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7" formatCode="0&quot; to fix&quot;"/>
      <fill>
        <patternFill patternType="solid">
          <fgColor rgb="FFFFC7CE"/>
          <bgColor rgb="FFFFC7CE"/>
        </patternFill>
      </fill>
    </dxf>
    <dxf>
      <font>
        <b/>
        <color rgb="FF006100"/>
        <name val="Arial"/>
      </font>
      <numFmt numFmtId="168" formatCode="0&quot; — all clear&quot;"/>
      <fill>
        <patternFill patternType="solid">
          <fgColor rgb="FFC6EFCE"/>
          <bgColor rgb="FFC6EFCE"/>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C32119C-801F-4497-81A7-C31436AB5D0A}"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183CDAA6-2B61-4712-9B4F-A1C22DB90334}"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7201B5BA-09E5-4B91-81AC-228AD99B8704}"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A31E75D2-BB89-439D-B479-73C50662CBD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F914B4D2-5987-4C13-A9DD-C869306EB607}"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0FBAA246-E45B-48F0-9734-5D50EC628FB8}"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40E14F6B-DDE1-4D3F-8E03-E0B262E7CBF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ED4D2105-E7B0-4E88-8AA6-F65C8D83D88F}"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3C08EEEF-9DC8-4132-9DA2-01565217B558}"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801D8F6B-58D1-4F38-94DA-EAD88EDB417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9DFD42A4-D7C2-4128-BD07-53240C287D8F}"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999974FE-53F0-4BD5-8D75-35AFE01C6F2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9:A40">
  <autoFilter ref="A39:A40"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8A9F4F-1150-4CDD-B10A-141208881643}" name="Centres" displayName="Centres" ref="A1:C7" tableType="queryTable" totalsRowShown="0" headerRowDxfId="49">
  <autoFilter ref="A1:C7" xr:uid="{108A9F4F-1150-4CDD-B10A-141208881643}"/>
  <tableColumns count="3">
    <tableColumn id="4" xr3:uid="{DABEB043-C819-4389-B0D4-6093F0C03440}" uniqueName="4" name="id" queryTableFieldId="1"/>
    <tableColumn id="5" xr3:uid="{5916C598-F423-4869-BCC9-6FED12E1D5E0}" uniqueName="5" name="Centre" queryTableFieldId="2"/>
    <tableColumn id="6" xr3:uid="{4C5314A4-5D24-405D-8623-5DC2E656886D}"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1984BF7-E216-42BD-AC23-C2DAA8F6C0EC}" name="Position" displayName="Position" ref="A1:E14" tableType="queryTable" totalsRowShown="0" headerRowDxfId="48">
  <autoFilter ref="A1:E14" xr:uid="{91984BF7-E216-42BD-AC23-C2DAA8F6C0EC}"/>
  <tableColumns count="5">
    <tableColumn id="6" xr3:uid="{83330D10-24C5-49CE-922E-E535ED604BB6}" uniqueName="6" name="Title" queryTableFieldId="1"/>
    <tableColumn id="7" xr3:uid="{05728A4B-FF4F-469B-8E1F-746122F5A0B9}" uniqueName="7" name="PositionArea" queryTableFieldId="2"/>
    <tableColumn id="8" xr3:uid="{DFB9ED42-56CA-4147-83AF-F9417DD522CC}" uniqueName="8" name="Position" queryTableFieldId="3"/>
    <tableColumn id="9" xr3:uid="{4C3D5490-183C-427C-9E7A-1445D20851DD}" uniqueName="9" name="Level" queryTableFieldId="4"/>
    <tableColumn id="10" xr3:uid="{B138AB6D-7D47-4836-9148-FE44A7EC04BD}"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E49DFE-FD79-40F2-9E7A-D9D0FA347DD0}" name="Resources" displayName="Resources" ref="A1:D2" tableType="queryTable" insertRow="1" totalsRowShown="0" headerRowDxfId="47">
  <autoFilter ref="A1:D2" xr:uid="{D2E49DFE-FD79-40F2-9E7A-D9D0FA347DD0}"/>
  <tableColumns count="4">
    <tableColumn id="5" xr3:uid="{E8D35A15-FE1C-43EA-81B8-2DC44ECC080E}" uniqueName="5" name="FirstName" queryTableFieldId="1"/>
    <tableColumn id="6" xr3:uid="{0F45AF96-BC9F-4564-8F78-60ECCFBBEB75}" uniqueName="6" name="LastName" queryTableFieldId="2"/>
    <tableColumn id="7" xr3:uid="{C06AB991-5859-4357-B4C5-6CFF72EBF760}" uniqueName="7" name="PositionTitle" queryTableFieldId="3"/>
    <tableColumn id="8" xr3:uid="{0AAC9529-C2AC-4B97-A0E0-2CB50EA48C13}"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8D8172-3614-43B4-A36E-268C787D14D6}" name="PriorityTactical" displayName="PriorityTactical" ref="A1:D19" tableType="queryTable" totalsRowShown="0" headerRowDxfId="46">
  <autoFilter ref="A1:D19" xr:uid="{748D8172-3614-43B4-A36E-268C787D14D6}"/>
  <tableColumns count="4">
    <tableColumn id="5" xr3:uid="{B51A1BC4-C396-4A62-B0C5-23D19DA653A1}" uniqueName="5" name="Title" queryTableFieldId="1"/>
    <tableColumn id="6" xr3:uid="{C5830F59-CF94-4888-AACD-FBC459FD7DEF}" uniqueName="6" name="Type" queryTableFieldId="2"/>
    <tableColumn id="7" xr3:uid="{A4F815AC-D7BD-42F6-A0BE-22AF7C507426}" uniqueName="7" name="Impact" queryTableFieldId="3"/>
    <tableColumn id="8" xr3:uid="{18EBBCC1-9104-458B-AC45-D39D1D2E8A7E}"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6C7FB6B-E9CC-4065-9164-E4E9ABF00A31}" name="ProblemSet" displayName="ProblemSet" ref="A1:D6" tableType="queryTable" totalsRowShown="0" headerRowDxfId="45">
  <autoFilter ref="A1:D6" xr:uid="{76C7FB6B-E9CC-4065-9164-E4E9ABF00A31}"/>
  <tableColumns count="4">
    <tableColumn id="5" xr3:uid="{C29339F3-9426-426F-8612-2CC88945F17E}" uniqueName="5" name="id" queryTableFieldId="1"/>
    <tableColumn id="6" xr3:uid="{14188384-6F4F-43D4-8F7E-EF60C147F15E}" uniqueName="6" name="Title" queryTableFieldId="2"/>
    <tableColumn id="7" xr3:uid="{FEB0BD9D-C647-493B-A3B2-69D410BD7D14}" uniqueName="7" name="TacticalType" queryTableFieldId="3"/>
    <tableColumn id="8" xr3:uid="{FAFC0A1E-70F4-4367-903C-9CEEC11B2A98}"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33BBB53-C2A6-4187-8414-20A7D9EBF484}" name="TacticalScores" displayName="TacticalScores" ref="A1:L19" tableType="queryTable" totalsRowShown="0" headerRowDxfId="44">
  <autoFilter ref="A1:L19" xr:uid="{333BBB53-C2A6-4187-8414-20A7D9EBF484}"/>
  <tableColumns count="12">
    <tableColumn id="13" xr3:uid="{1F4CDB36-2517-464B-BF4B-690CBE95F219}" uniqueName="13" name="PriorityReference" queryTableFieldId="1"/>
    <tableColumn id="14" xr3:uid="{ECC59E2B-FDA6-4C49-88DC-0A895DEEAAA0}" uniqueName="14" name="Actor" queryTableFieldId="2"/>
    <tableColumn id="15" xr3:uid="{720ED24C-8AF6-47DE-840A-0D1620B41357}" uniqueName="15" name="ProblemSet" queryTableFieldId="3"/>
    <tableColumn id="16" xr3:uid="{6A478FD8-89C2-42B6-813B-FB1E98173679}" uniqueName="16" name="Intent" queryTableFieldId="4"/>
    <tableColumn id="17" xr3:uid="{255192A6-27F6-43FE-84FA-96D6FA12F6FF}" uniqueName="17" name="Capability" queryTableFieldId="5"/>
    <tableColumn id="18" xr3:uid="{C9A1098D-AF17-4C86-9347-368CAF9CD42C}" uniqueName="18" name="Consequence" queryTableFieldId="6"/>
    <tableColumn id="19" xr3:uid="{AB73658E-2BA7-4743-BC61-1ACD7D1DF977}" uniqueName="19" name="Likelihood" queryTableFieldId="7"/>
    <tableColumn id="20" xr3:uid="{734A7967-4DE1-43E1-B790-5957B44DE2A6}" uniqueName="20" name="LikelihoodLevel" queryTableFieldId="8"/>
    <tableColumn id="21" xr3:uid="{8F7EAD3F-9346-4EFD-B6BB-D0CA04A018EE}" uniqueName="21" name="RiskRaw" queryTableFieldId="9"/>
    <tableColumn id="22" xr3:uid="{371679A5-9BDA-4650-AA86-46338F603C5D}" uniqueName="22" name="RiskLabelId" queryTableFieldId="10"/>
    <tableColumn id="23" xr3:uid="{AC0E613F-FE8A-465F-B895-8A8921142D27}" uniqueName="23" name="RiskLabel" queryTableFieldId="11"/>
    <tableColumn id="24" xr3:uid="{BC06A1A1-EC5D-4D3B-BA25-599A9F573F9D}"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B38A36D-457D-48CF-9F4A-EE2E0EE62302}" name="PriorityInitiative" displayName="PriorityInitiative" ref="A1:D17" tableType="queryTable" totalsRowShown="0" headerRowDxfId="43">
  <autoFilter ref="A1:D17" xr:uid="{EB38A36D-457D-48CF-9F4A-EE2E0EE62302}"/>
  <tableColumns count="4">
    <tableColumn id="5" xr3:uid="{A4048CE2-8707-41F6-A2C1-D19629BA83F4}" uniqueName="5" name="Title" queryTableFieldId="1"/>
    <tableColumn id="6" xr3:uid="{A897CA22-994D-44AF-BA1D-975FD8B15875}" uniqueName="6" name="Type" queryTableFieldId="2"/>
    <tableColumn id="7" xr3:uid="{2C315984-77FD-47AF-9035-A66E5938ACD8}" uniqueName="7" name="Impact" queryTableFieldId="3"/>
    <tableColumn id="8" xr3:uid="{7DB0119C-A06B-49D8-B768-1506F7E2B8F8}"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6389D94-09C3-4EFC-A2AF-9EAABAD4DC0C}" name="InitiativeType" displayName="InitiativeType" ref="A1:E5" tableType="queryTable" totalsRowShown="0" headerRowDxfId="42">
  <autoFilter ref="A1:E5" xr:uid="{D6389D94-09C3-4EFC-A2AF-9EAABAD4DC0C}"/>
  <tableColumns count="5">
    <tableColumn id="6" xr3:uid="{13E8C271-95E8-4517-B528-C79B900F53A4}" uniqueName="6" name="id" queryTableFieldId="1"/>
    <tableColumn id="7" xr3:uid="{FBA116E0-E306-4F47-A1AB-C3DF3DC98642}" uniqueName="7" name="Title" queryTableFieldId="2"/>
    <tableColumn id="8" xr3:uid="{D84FA041-3AAC-4FD2-9140-CEE44238BCD3}" uniqueName="8" name="Level1" queryTableFieldId="3"/>
    <tableColumn id="9" xr3:uid="{E033A709-5037-46D1-9C15-9A9A8FC0609D}" uniqueName="9" name="Level2" queryTableFieldId="4"/>
    <tableColumn id="10" xr3:uid="{DD233AAB-680E-4F7A-AB62-991C116B3321}"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714450-0EE6-419F-8ACE-4F7FB071AE58}" name="InitiativeScores" displayName="InitiativeScores" ref="A1:K17" tableType="queryTable" totalsRowShown="0" headerRowDxfId="41">
  <autoFilter ref="A1:K17" xr:uid="{36714450-0EE6-419F-8ACE-4F7FB071AE58}"/>
  <tableColumns count="11">
    <tableColumn id="12" xr3:uid="{5B4EB42C-78C3-4C14-A9E2-390BF717DBF9}" uniqueName="12" name="PriorityReference" queryTableFieldId="1"/>
    <tableColumn id="13" xr3:uid="{3C18D053-76D3-45EA-85A5-B90695B2B1A8}" uniqueName="13" name="Actor" queryTableFieldId="2"/>
    <tableColumn id="14" xr3:uid="{E241DAC4-A747-4B3A-8E97-0FF2BC5BC3D1}" uniqueName="14" name="InitiativeType" queryTableFieldId="3"/>
    <tableColumn id="15" xr3:uid="{3E219684-4F02-4A48-ABA3-B79742482F69}" uniqueName="15" name="InitiativeShortCode" queryTableFieldId="4"/>
    <tableColumn id="16" xr3:uid="{100C59F2-8B74-4683-95BB-A2FF30E34810}" uniqueName="16" name="Dividend" queryTableFieldId="5"/>
    <tableColumn id="17" xr3:uid="{7EEC7831-12A4-42CB-A092-3356A1B087C6}" uniqueName="17" name="Feasibility" queryTableFieldId="6"/>
    <tableColumn id="18" xr3:uid="{2B82B6D2-CDF1-465F-8C06-075FC91FB3FC}" uniqueName="18" name="Cost" queryTableFieldId="7"/>
    <tableColumn id="19" xr3:uid="{D8A76177-FA62-4B51-8924-FA319AA3CED8}" uniqueName="19" name="Value" queryTableFieldId="8"/>
    <tableColumn id="20" xr3:uid="{C1AF9991-0E50-4A90-A1B3-A52E5435988B}" uniqueName="20" name="ValueLabelId" queryTableFieldId="9"/>
    <tableColumn id="21" xr3:uid="{4539D728-0D56-4ED4-A45D-22A47656D611}" uniqueName="21" name="ValueLabel" queryTableFieldId="10"/>
    <tableColumn id="22" xr3:uid="{F167F682-FF55-4856-B2C0-1684CAAA6845}"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7F24F9A-B553-4439-B66E-74DD2CA96863}" name="PriorityAssistance" displayName="PriorityAssistance" ref="A1:D17" tableType="queryTable" totalsRowShown="0" headerRowDxfId="40">
  <autoFilter ref="A1:D17" xr:uid="{D7F24F9A-B553-4439-B66E-74DD2CA96863}"/>
  <tableColumns count="4">
    <tableColumn id="5" xr3:uid="{14E487B9-2666-46B5-A31F-0F7F8B3078B1}" uniqueName="5" name="Title" queryTableFieldId="1"/>
    <tableColumn id="6" xr3:uid="{BAAF3DCC-3732-48D4-9636-5A6E15CDEB49}" uniqueName="6" name="Type" queryTableFieldId="2"/>
    <tableColumn id="7" xr3:uid="{35FEAF38-2677-44D8-8056-4C0200A0ADEF}" uniqueName="7" name="Impact" queryTableFieldId="3"/>
    <tableColumn id="8" xr3:uid="{33529040-0685-4AE7-87A7-10005E7C5544}"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303C9E-649F-47B5-91D2-568FB3640022}" name="AssistanceType" displayName="AssistanceType" ref="A1:E5" tableType="queryTable" totalsRowShown="0" headerRowDxfId="39">
  <autoFilter ref="A1:E5" xr:uid="{6C303C9E-649F-47B5-91D2-568FB3640022}"/>
  <tableColumns count="5">
    <tableColumn id="6" xr3:uid="{FC014CEE-6731-4803-9804-30D6CA747394}" uniqueName="6" name="id" queryTableFieldId="1"/>
    <tableColumn id="7" xr3:uid="{7D86A4C6-7310-4173-8390-D6DAB4219104}" uniqueName="7" name="Title" queryTableFieldId="2"/>
    <tableColumn id="8" xr3:uid="{E5A5C7F6-EEE2-4A36-94D5-7FFD4552266A}" uniqueName="8" name="Level1" queryTableFieldId="3"/>
    <tableColumn id="9" xr3:uid="{761E9D34-D24C-4C2D-A181-2BE0F389B8D3}" uniqueName="9" name="Level2" queryTableFieldId="4"/>
    <tableColumn id="10" xr3:uid="{A4C6109A-5194-4451-AFA5-DBA7F9F64934}"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7A7FB20-6B8F-4327-92AE-21E9B7402792}" name="AssistanceScores" displayName="AssistanceScores" ref="A1:K17" tableType="queryTable" totalsRowShown="0" headerRowDxfId="38">
  <autoFilter ref="A1:K17" xr:uid="{27A7FB20-6B8F-4327-92AE-21E9B7402792}"/>
  <tableColumns count="11">
    <tableColumn id="12" xr3:uid="{669C5539-44F6-4CE1-800F-C4BC75E81F88}" uniqueName="12" name="PriorityReference" queryTableFieldId="1"/>
    <tableColumn id="13" xr3:uid="{F39EA29F-2682-42C6-AA4D-315956867BED}" uniqueName="13" name="Actor" queryTableFieldId="2"/>
    <tableColumn id="14" xr3:uid="{FE5110DB-CD00-4E2D-A026-98732121375A}" uniqueName="14" name="AssistanceType" queryTableFieldId="3"/>
    <tableColumn id="15" xr3:uid="{DABAEB51-BE0F-4EFE-BA51-D3DE7ACFBECD}" uniqueName="15" name="AssistanceShortCode" queryTableFieldId="4"/>
    <tableColumn id="16" xr3:uid="{91A5BB18-450D-423F-8161-E417D7C3BB41}" uniqueName="16" name="Alignment" queryTableFieldId="5"/>
    <tableColumn id="17" xr3:uid="{012D4736-EF5A-432C-A9F3-12412D3FBB6F}" uniqueName="17" name="Contribution" queryTableFieldId="6"/>
    <tableColumn id="18" xr3:uid="{6F5E2A6E-FEF7-4BFA-96AF-AC3E69362E9E}" uniqueName="18" name="Capacity" queryTableFieldId="7"/>
    <tableColumn id="19" xr3:uid="{01BC0D84-5B9B-4EE7-99EE-66DEC7706F4C}" uniqueName="19" name="Value" queryTableFieldId="8"/>
    <tableColumn id="20" xr3:uid="{4E77A94E-C6BC-46F0-8468-34AFD37E5ADB}" uniqueName="20" name="ValueLabelId" queryTableFieldId="9"/>
    <tableColumn id="21" xr3:uid="{87FF55F6-33F3-4248-B82D-5A826C879C9E}" uniqueName="21" name="ValueLabel" queryTableFieldId="10"/>
    <tableColumn id="22" xr3:uid="{A56BD22F-4539-4AD2-834C-1CE0858C54DB}"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0"/>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10" t="s">
        <v>36</v>
      </c>
    </row>
    <row r="40" spans="1:3" x14ac:dyDescent="0.25">
      <c r="A40" s="11" t="s">
        <v>37</v>
      </c>
    </row>
  </sheetData>
  <sheetProtection sheet="1"/>
  <conditionalFormatting sqref="B32:B35">
    <cfRule type="expression" dxfId="37" priority="1">
      <formula>$B32=0</formula>
    </cfRule>
    <cfRule type="expression" dxfId="36"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78</v>
      </c>
      <c r="B1" s="10" t="s">
        <v>79</v>
      </c>
      <c r="C1" s="10" t="s">
        <v>68</v>
      </c>
      <c r="D1" s="10" t="s">
        <v>80</v>
      </c>
      <c r="E1" s="10" t="s">
        <v>81</v>
      </c>
      <c r="F1" s="10" t="s">
        <v>82</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35" priority="4">
      <formula>AND($A2&lt;&gt;"",COUNTIF($A$2:$A$16,$A2)&gt;1)</formula>
    </cfRule>
  </conditionalFormatting>
  <conditionalFormatting sqref="D2:D16">
    <cfRule type="expression" dxfId="34" priority="1">
      <formula>AND($A2&lt;&gt;"",$D2&gt;1)</formula>
    </cfRule>
    <cfRule type="expression" dxfId="33" priority="2">
      <formula>AND($A2&lt;&gt;"",$D2&lt;1,$D2&gt;0)</formula>
    </cfRule>
    <cfRule type="expression" dxfId="32"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68</v>
      </c>
      <c r="B1" s="10" t="s">
        <v>83</v>
      </c>
      <c r="C1" s="10" t="s">
        <v>84</v>
      </c>
      <c r="D1" s="10" t="s">
        <v>85</v>
      </c>
      <c r="E1" s="10" t="s">
        <v>86</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78</v>
      </c>
      <c r="B1" s="10" t="s">
        <v>83</v>
      </c>
      <c r="C1" s="10" t="s">
        <v>87</v>
      </c>
      <c r="D1" s="10" t="s">
        <v>88</v>
      </c>
      <c r="E1" s="10" t="s">
        <v>89</v>
      </c>
      <c r="F1" s="10" t="s">
        <v>90</v>
      </c>
      <c r="G1" s="10" t="s">
        <v>91</v>
      </c>
      <c r="H1" s="10" t="s">
        <v>92</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31" priority="14">
      <formula>AND($A2&lt;&gt;"",$D2&lt;&gt;"",COUNTIFS($A$2:$A$201,$A2,$D$2:$D$201,$D2)&gt;1)</formula>
    </cfRule>
  </conditionalFormatting>
  <conditionalFormatting sqref="G2:G201">
    <cfRule type="expression" dxfId="30" priority="1">
      <formula>AND($C2="Tactical",$G2="Minimal")</formula>
    </cfRule>
    <cfRule type="expression" dxfId="29" priority="2">
      <formula>AND($C2="Tactical",$G2="Low")</formula>
    </cfRule>
    <cfRule type="expression" dxfId="28" priority="3">
      <formula>AND($C2="Tactical",$G2="Moderate")</formula>
    </cfRule>
    <cfRule type="expression" dxfId="27" priority="4">
      <formula>AND($C2="Tactical",$G2="High")</formula>
    </cfRule>
    <cfRule type="expression" dxfId="26" priority="5">
      <formula>AND($C2="Tactical",$G2="Very High")</formula>
    </cfRule>
    <cfRule type="expression" dxfId="25" priority="6">
      <formula>AND($C2&lt;&gt;"Tactical",$C2&lt;&gt;"",$G2="Minimal")</formula>
    </cfRule>
    <cfRule type="expression" dxfId="24" priority="7">
      <formula>AND($C2&lt;&gt;"Tactical",$C2&lt;&gt;"",$G2="Limited")</formula>
    </cfRule>
    <cfRule type="expression" dxfId="23" priority="8">
      <formula>AND($C2&lt;&gt;"Tactical",$C2&lt;&gt;"",$G2="Moderate")</formula>
    </cfRule>
    <cfRule type="expression" dxfId="22" priority="9">
      <formula>AND($C2&lt;&gt;"Tactical",$C2&lt;&gt;"",$G2="Significant")</formula>
    </cfRule>
    <cfRule type="expression" dxfId="21" priority="10">
      <formula>AND($C2&lt;&gt;"Tactical",$C2&lt;&gt;"",$G2="Exceptional")</formula>
    </cfRule>
  </conditionalFormatting>
  <conditionalFormatting sqref="H2:H201">
    <cfRule type="expression" dxfId="20" priority="11">
      <formula>AND($A2&lt;&gt;"",$H2&gt;1)</formula>
    </cfRule>
    <cfRule type="expression" dxfId="19" priority="12">
      <formula>AND($A2&lt;&gt;"",$H2&lt;1,$H2&gt;0)</formula>
    </cfRule>
    <cfRule type="expression" dxfId="18"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93</v>
      </c>
      <c r="B1" s="10" t="s">
        <v>94</v>
      </c>
      <c r="C1" s="10" t="s">
        <v>78</v>
      </c>
      <c r="D1" s="10" t="s">
        <v>95</v>
      </c>
      <c r="E1" s="10" t="s">
        <v>96</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17" priority="3">
      <formula>AND($A2&lt;&gt;"",$C2&lt;&gt;"",COUNTIFS($A$2:$A$201,$A2,$C$2:$C$201,$C2)&gt;1)</formula>
    </cfRule>
  </conditionalFormatting>
  <conditionalFormatting sqref="E2:E201">
    <cfRule type="expression" dxfId="16" priority="1">
      <formula>AND($A2&lt;&gt;"",$E2&gt;1)</formula>
    </cfRule>
    <cfRule type="expression" dxfId="15"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97</v>
      </c>
    </row>
    <row r="2" spans="1:7" x14ac:dyDescent="0.25">
      <c r="A2" s="5" t="s">
        <v>98</v>
      </c>
    </row>
    <row r="3" spans="1:7" x14ac:dyDescent="0.25">
      <c r="A3" s="27" t="str">
        <f>IF(COUNTA(Priorities[Team Name])&gt;100,"More than 100 ranked rows exist — only the first 100 are shown here. Step 3 still holds them all.","")</f>
        <v/>
      </c>
    </row>
    <row r="4" spans="1:7" ht="30" x14ac:dyDescent="0.25">
      <c r="A4" s="10" t="s">
        <v>78</v>
      </c>
      <c r="B4" s="10" t="s">
        <v>83</v>
      </c>
      <c r="C4" s="10" t="s">
        <v>99</v>
      </c>
      <c r="D4" s="10" t="s">
        <v>88</v>
      </c>
      <c r="E4" s="10" t="s">
        <v>89</v>
      </c>
      <c r="F4" s="10" t="s">
        <v>100</v>
      </c>
      <c r="G4" s="10" t="s">
        <v>101</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5FE1A-69C6-4975-AA1B-C8F7537A9612}">
  <sheetPr>
    <tabColor rgb="FFA6A6A6"/>
  </sheetPr>
  <dimension ref="A1:C7"/>
  <sheetViews>
    <sheetView showGridLines="0" workbookViewId="0"/>
  </sheetViews>
  <sheetFormatPr defaultRowHeight="15" x14ac:dyDescent="0.25"/>
  <cols>
    <col min="1" max="1" width="7.28515625" bestFit="1" customWidth="1"/>
    <col min="2" max="2" width="20.7109375" bestFit="1" customWidth="1"/>
    <col min="3" max="3" width="16.140625" bestFit="1" customWidth="1"/>
  </cols>
  <sheetData>
    <row r="1" spans="1:3" x14ac:dyDescent="0.25">
      <c r="A1" s="29" t="s">
        <v>39</v>
      </c>
      <c r="B1" s="29" t="s">
        <v>102</v>
      </c>
      <c r="C1" s="29" t="s">
        <v>103</v>
      </c>
    </row>
    <row r="2" spans="1:3" x14ac:dyDescent="0.25">
      <c r="A2">
        <v>1</v>
      </c>
      <c r="B2" t="s">
        <v>104</v>
      </c>
      <c r="C2" t="s">
        <v>105</v>
      </c>
    </row>
    <row r="3" spans="1:3" x14ac:dyDescent="0.25">
      <c r="A3">
        <v>2</v>
      </c>
      <c r="B3" t="s">
        <v>106</v>
      </c>
      <c r="C3" t="s">
        <v>107</v>
      </c>
    </row>
    <row r="4" spans="1:3" x14ac:dyDescent="0.25">
      <c r="A4">
        <v>3</v>
      </c>
      <c r="B4" t="s">
        <v>108</v>
      </c>
      <c r="C4" t="s">
        <v>109</v>
      </c>
    </row>
    <row r="5" spans="1:3" x14ac:dyDescent="0.25">
      <c r="A5">
        <v>4</v>
      </c>
      <c r="B5" t="s">
        <v>110</v>
      </c>
      <c r="C5" t="s">
        <v>111</v>
      </c>
    </row>
    <row r="6" spans="1:3" x14ac:dyDescent="0.25">
      <c r="A6">
        <v>5</v>
      </c>
      <c r="B6" t="s">
        <v>112</v>
      </c>
      <c r="C6" t="s">
        <v>113</v>
      </c>
    </row>
    <row r="7" spans="1:3" x14ac:dyDescent="0.25">
      <c r="A7">
        <v>6</v>
      </c>
      <c r="B7" t="s">
        <v>114</v>
      </c>
      <c r="C7" t="s">
        <v>115</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97F6D-290A-47B9-9791-1E531F8B3740}">
  <sheetPr>
    <tabColor rgb="FFA6A6A6"/>
  </sheetPr>
  <dimension ref="A1:E14"/>
  <sheetViews>
    <sheetView showGridLines="0" workbookViewId="0"/>
  </sheetViews>
  <sheetFormatPr defaultRowHeight="15" x14ac:dyDescent="0.25"/>
  <cols>
    <col min="1" max="1" width="25.7109375" bestFit="1" customWidth="1"/>
    <col min="2" max="2" width="17" bestFit="1" customWidth="1"/>
    <col min="3" max="3" width="12.85546875" bestFit="1" customWidth="1"/>
    <col min="4" max="4" width="10.28515625" bestFit="1" customWidth="1"/>
    <col min="5" max="5" width="18" bestFit="1" customWidth="1"/>
  </cols>
  <sheetData>
    <row r="1" spans="1:5" x14ac:dyDescent="0.25">
      <c r="A1" s="29" t="s">
        <v>116</v>
      </c>
      <c r="B1" s="29" t="s">
        <v>117</v>
      </c>
      <c r="C1" s="29" t="s">
        <v>118</v>
      </c>
      <c r="D1" s="29" t="s">
        <v>119</v>
      </c>
      <c r="E1" s="29" t="s">
        <v>120</v>
      </c>
    </row>
    <row r="2" spans="1:5" x14ac:dyDescent="0.25">
      <c r="A2" t="s">
        <v>121</v>
      </c>
      <c r="B2" t="s">
        <v>122</v>
      </c>
      <c r="C2" t="s">
        <v>123</v>
      </c>
      <c r="D2" t="s">
        <v>124</v>
      </c>
      <c r="E2">
        <v>1</v>
      </c>
    </row>
    <row r="3" spans="1:5" x14ac:dyDescent="0.25">
      <c r="A3" t="s">
        <v>125</v>
      </c>
      <c r="B3" t="s">
        <v>122</v>
      </c>
      <c r="C3" t="s">
        <v>123</v>
      </c>
      <c r="D3" t="s">
        <v>126</v>
      </c>
      <c r="E3">
        <v>2</v>
      </c>
    </row>
    <row r="4" spans="1:5" x14ac:dyDescent="0.25">
      <c r="A4" t="s">
        <v>127</v>
      </c>
      <c r="B4" t="s">
        <v>122</v>
      </c>
      <c r="C4" t="s">
        <v>128</v>
      </c>
      <c r="D4" t="s">
        <v>129</v>
      </c>
      <c r="E4">
        <v>3</v>
      </c>
    </row>
    <row r="5" spans="1:5" x14ac:dyDescent="0.25">
      <c r="A5" t="s">
        <v>130</v>
      </c>
      <c r="B5" t="s">
        <v>122</v>
      </c>
      <c r="C5" t="s">
        <v>128</v>
      </c>
      <c r="D5" t="s">
        <v>131</v>
      </c>
      <c r="E5">
        <v>4</v>
      </c>
    </row>
    <row r="6" spans="1:5" x14ac:dyDescent="0.25">
      <c r="A6" t="s">
        <v>132</v>
      </c>
      <c r="B6" t="s">
        <v>122</v>
      </c>
      <c r="C6" t="s">
        <v>133</v>
      </c>
      <c r="D6" t="s">
        <v>134</v>
      </c>
      <c r="E6">
        <v>5</v>
      </c>
    </row>
    <row r="7" spans="1:5" x14ac:dyDescent="0.25">
      <c r="A7" t="s">
        <v>135</v>
      </c>
      <c r="B7" t="s">
        <v>136</v>
      </c>
      <c r="C7" t="s">
        <v>137</v>
      </c>
      <c r="D7" t="s">
        <v>124</v>
      </c>
      <c r="E7">
        <v>1</v>
      </c>
    </row>
    <row r="8" spans="1:5" x14ac:dyDescent="0.25">
      <c r="A8" t="s">
        <v>138</v>
      </c>
      <c r="B8" t="s">
        <v>136</v>
      </c>
      <c r="C8" t="s">
        <v>139</v>
      </c>
      <c r="D8" t="s">
        <v>126</v>
      </c>
      <c r="E8">
        <v>2</v>
      </c>
    </row>
    <row r="9" spans="1:5" x14ac:dyDescent="0.25">
      <c r="A9" t="s">
        <v>140</v>
      </c>
      <c r="B9" t="s">
        <v>136</v>
      </c>
      <c r="C9" t="s">
        <v>139</v>
      </c>
      <c r="D9" t="s">
        <v>129</v>
      </c>
      <c r="E9">
        <v>3</v>
      </c>
    </row>
    <row r="10" spans="1:5" x14ac:dyDescent="0.25">
      <c r="A10" t="s">
        <v>141</v>
      </c>
      <c r="B10" t="s">
        <v>136</v>
      </c>
      <c r="C10" t="s">
        <v>142</v>
      </c>
      <c r="D10" t="s">
        <v>131</v>
      </c>
      <c r="E10">
        <v>4</v>
      </c>
    </row>
    <row r="11" spans="1:5" x14ac:dyDescent="0.25">
      <c r="A11" t="s">
        <v>143</v>
      </c>
      <c r="B11" t="s">
        <v>136</v>
      </c>
      <c r="C11" t="s">
        <v>133</v>
      </c>
      <c r="D11" t="s">
        <v>134</v>
      </c>
      <c r="E11">
        <v>5</v>
      </c>
    </row>
    <row r="12" spans="1:5" x14ac:dyDescent="0.25">
      <c r="A12" t="s">
        <v>144</v>
      </c>
      <c r="B12" t="s">
        <v>145</v>
      </c>
      <c r="C12" t="s">
        <v>146</v>
      </c>
      <c r="D12" t="s">
        <v>129</v>
      </c>
      <c r="E12">
        <v>3</v>
      </c>
    </row>
    <row r="13" spans="1:5" x14ac:dyDescent="0.25">
      <c r="A13" t="s">
        <v>147</v>
      </c>
      <c r="B13" t="s">
        <v>145</v>
      </c>
      <c r="C13" t="s">
        <v>146</v>
      </c>
      <c r="D13" t="s">
        <v>131</v>
      </c>
      <c r="E13">
        <v>4</v>
      </c>
    </row>
    <row r="14" spans="1:5" x14ac:dyDescent="0.25">
      <c r="A14" t="s">
        <v>148</v>
      </c>
      <c r="B14" t="s">
        <v>145</v>
      </c>
      <c r="C14" t="s">
        <v>149</v>
      </c>
      <c r="D14" t="s">
        <v>134</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1847E-09DB-4269-A12E-578CA1856EDC}">
  <sheetPr>
    <tabColor rgb="FFA6A6A6"/>
  </sheetPr>
  <dimension ref="A1:D1"/>
  <sheetViews>
    <sheetView showGridLines="0" workbookViewId="0"/>
  </sheetViews>
  <sheetFormatPr defaultRowHeight="15" x14ac:dyDescent="0.25"/>
  <cols>
    <col min="1" max="1" width="14.7109375" bestFit="1" customWidth="1"/>
    <col min="2" max="2" width="14.28515625" bestFit="1" customWidth="1"/>
    <col min="3" max="3" width="16.85546875" bestFit="1" customWidth="1"/>
    <col min="4" max="4" width="14.140625" bestFit="1" customWidth="1"/>
  </cols>
  <sheetData>
    <row r="1" spans="1:4" x14ac:dyDescent="0.25">
      <c r="A1" s="29" t="s">
        <v>193</v>
      </c>
      <c r="B1" s="29" t="s">
        <v>194</v>
      </c>
      <c r="C1" s="29" t="s">
        <v>195</v>
      </c>
      <c r="D1" s="29" t="s">
        <v>196</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57541-ECE5-4A78-8C9C-690C8428771B}">
  <sheetPr>
    <tabColor rgb="FFA6A6A6"/>
  </sheetPr>
  <dimension ref="A1:D19"/>
  <sheetViews>
    <sheetView showGridLines="0" workbookViewId="0"/>
  </sheetViews>
  <sheetFormatPr defaultRowHeight="15" x14ac:dyDescent="0.25"/>
  <cols>
    <col min="1" max="1" width="52.42578125" bestFit="1" customWidth="1"/>
    <col min="2" max="2" width="9.85546875" bestFit="1" customWidth="1"/>
    <col min="3" max="3" width="11.5703125" bestFit="1" customWidth="1"/>
    <col min="4" max="4" width="14.5703125" bestFit="1" customWidth="1"/>
  </cols>
  <sheetData>
    <row r="1" spans="1:4" x14ac:dyDescent="0.25">
      <c r="A1" s="29" t="s">
        <v>116</v>
      </c>
      <c r="B1" s="29" t="s">
        <v>99</v>
      </c>
      <c r="C1" s="29" t="s">
        <v>197</v>
      </c>
      <c r="D1" s="29" t="s">
        <v>198</v>
      </c>
    </row>
    <row r="2" spans="1:4" x14ac:dyDescent="0.25">
      <c r="A2" t="s">
        <v>199</v>
      </c>
      <c r="B2" t="s">
        <v>77</v>
      </c>
      <c r="C2" t="s">
        <v>56</v>
      </c>
      <c r="D2" t="s">
        <v>73</v>
      </c>
    </row>
    <row r="3" spans="1:4" x14ac:dyDescent="0.25">
      <c r="A3" t="s">
        <v>200</v>
      </c>
      <c r="B3" t="s">
        <v>77</v>
      </c>
      <c r="C3" t="s">
        <v>56</v>
      </c>
      <c r="D3" t="s">
        <v>73</v>
      </c>
    </row>
    <row r="4" spans="1:4" x14ac:dyDescent="0.25">
      <c r="A4" t="s">
        <v>201</v>
      </c>
      <c r="B4" t="s">
        <v>77</v>
      </c>
      <c r="C4" t="s">
        <v>56</v>
      </c>
      <c r="D4" t="s">
        <v>73</v>
      </c>
    </row>
    <row r="5" spans="1:4" x14ac:dyDescent="0.25">
      <c r="A5" t="s">
        <v>202</v>
      </c>
      <c r="B5" t="s">
        <v>77</v>
      </c>
      <c r="C5" t="s">
        <v>56</v>
      </c>
      <c r="D5" t="s">
        <v>73</v>
      </c>
    </row>
    <row r="6" spans="1:4" x14ac:dyDescent="0.25">
      <c r="A6" t="s">
        <v>203</v>
      </c>
      <c r="B6" t="s">
        <v>77</v>
      </c>
      <c r="C6" t="s">
        <v>56</v>
      </c>
      <c r="D6" t="s">
        <v>73</v>
      </c>
    </row>
    <row r="7" spans="1:4" x14ac:dyDescent="0.25">
      <c r="A7" t="s">
        <v>204</v>
      </c>
      <c r="B7" t="s">
        <v>77</v>
      </c>
      <c r="C7" t="s">
        <v>56</v>
      </c>
      <c r="D7" t="s">
        <v>73</v>
      </c>
    </row>
    <row r="8" spans="1:4" x14ac:dyDescent="0.25">
      <c r="A8" t="s">
        <v>205</v>
      </c>
      <c r="B8" t="s">
        <v>77</v>
      </c>
      <c r="C8" t="s">
        <v>56</v>
      </c>
      <c r="D8" t="s">
        <v>73</v>
      </c>
    </row>
    <row r="9" spans="1:4" x14ac:dyDescent="0.25">
      <c r="A9" t="s">
        <v>206</v>
      </c>
      <c r="B9" t="s">
        <v>77</v>
      </c>
      <c r="C9" t="s">
        <v>56</v>
      </c>
      <c r="D9" t="s">
        <v>73</v>
      </c>
    </row>
    <row r="10" spans="1:4" x14ac:dyDescent="0.25">
      <c r="A10" t="s">
        <v>207</v>
      </c>
      <c r="B10" t="s">
        <v>77</v>
      </c>
      <c r="C10" t="s">
        <v>56</v>
      </c>
      <c r="D10" t="s">
        <v>73</v>
      </c>
    </row>
    <row r="11" spans="1:4" x14ac:dyDescent="0.25">
      <c r="A11" t="s">
        <v>208</v>
      </c>
      <c r="B11" t="s">
        <v>77</v>
      </c>
      <c r="C11" t="s">
        <v>56</v>
      </c>
      <c r="D11" t="s">
        <v>73</v>
      </c>
    </row>
    <row r="12" spans="1:4" x14ac:dyDescent="0.25">
      <c r="A12" t="s">
        <v>209</v>
      </c>
      <c r="B12" t="s">
        <v>77</v>
      </c>
      <c r="C12" t="s">
        <v>56</v>
      </c>
      <c r="D12" t="s">
        <v>73</v>
      </c>
    </row>
    <row r="13" spans="1:4" x14ac:dyDescent="0.25">
      <c r="A13" t="s">
        <v>210</v>
      </c>
      <c r="B13" t="s">
        <v>77</v>
      </c>
      <c r="C13" t="s">
        <v>56</v>
      </c>
      <c r="D13" t="s">
        <v>73</v>
      </c>
    </row>
    <row r="14" spans="1:4" x14ac:dyDescent="0.25">
      <c r="A14" t="s">
        <v>211</v>
      </c>
      <c r="B14" t="s">
        <v>77</v>
      </c>
      <c r="C14" t="s">
        <v>56</v>
      </c>
      <c r="D14" t="s">
        <v>73</v>
      </c>
    </row>
    <row r="15" spans="1:4" x14ac:dyDescent="0.25">
      <c r="A15" t="s">
        <v>212</v>
      </c>
      <c r="B15" t="s">
        <v>77</v>
      </c>
      <c r="C15" t="s">
        <v>56</v>
      </c>
      <c r="D15" t="s">
        <v>73</v>
      </c>
    </row>
    <row r="16" spans="1:4" x14ac:dyDescent="0.25">
      <c r="A16" t="s">
        <v>213</v>
      </c>
      <c r="B16" t="s">
        <v>77</v>
      </c>
      <c r="C16" t="s">
        <v>56</v>
      </c>
      <c r="D16" t="s">
        <v>73</v>
      </c>
    </row>
    <row r="17" spans="1:4" x14ac:dyDescent="0.25">
      <c r="A17" t="s">
        <v>214</v>
      </c>
      <c r="B17" t="s">
        <v>77</v>
      </c>
      <c r="C17" t="s">
        <v>56</v>
      </c>
      <c r="D17" t="s">
        <v>73</v>
      </c>
    </row>
    <row r="18" spans="1:4" x14ac:dyDescent="0.25">
      <c r="A18" t="s">
        <v>215</v>
      </c>
      <c r="B18" t="s">
        <v>77</v>
      </c>
      <c r="C18" t="s">
        <v>56</v>
      </c>
      <c r="D18" t="s">
        <v>73</v>
      </c>
    </row>
    <row r="19" spans="1:4" x14ac:dyDescent="0.25">
      <c r="A19" t="s">
        <v>216</v>
      </c>
      <c r="B19" t="s">
        <v>77</v>
      </c>
      <c r="C19" t="s">
        <v>56</v>
      </c>
      <c r="D19" t="s">
        <v>73</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9F751-DCC3-4A62-AE9D-A3A103078ABB}">
  <sheetPr>
    <tabColor rgb="FFA6A6A6"/>
  </sheetPr>
  <dimension ref="A1:D6"/>
  <sheetViews>
    <sheetView showGridLines="0" workbookViewId="0"/>
  </sheetViews>
  <sheetFormatPr defaultRowHeight="15" x14ac:dyDescent="0.25"/>
  <cols>
    <col min="1" max="1" width="7.28515625" bestFit="1" customWidth="1"/>
    <col min="2" max="2" width="27.7109375" bestFit="1" customWidth="1"/>
    <col min="3" max="3" width="16.42578125" bestFit="1" customWidth="1"/>
    <col min="4" max="4" width="25.5703125" bestFit="1" customWidth="1"/>
  </cols>
  <sheetData>
    <row r="1" spans="1:4" x14ac:dyDescent="0.25">
      <c r="A1" s="29" t="s">
        <v>39</v>
      </c>
      <c r="B1" s="29" t="s">
        <v>116</v>
      </c>
      <c r="C1" s="29" t="s">
        <v>150</v>
      </c>
      <c r="D1" s="29" t="s">
        <v>151</v>
      </c>
    </row>
    <row r="2" spans="1:4" x14ac:dyDescent="0.25">
      <c r="A2">
        <v>1</v>
      </c>
      <c r="B2" t="s">
        <v>152</v>
      </c>
      <c r="C2" t="s">
        <v>153</v>
      </c>
      <c r="D2" t="s">
        <v>154</v>
      </c>
    </row>
    <row r="3" spans="1:4" x14ac:dyDescent="0.25">
      <c r="A3">
        <v>2</v>
      </c>
      <c r="B3" t="s">
        <v>155</v>
      </c>
      <c r="C3" t="s">
        <v>156</v>
      </c>
      <c r="D3" t="s">
        <v>157</v>
      </c>
    </row>
    <row r="4" spans="1:4" x14ac:dyDescent="0.25">
      <c r="A4">
        <v>3</v>
      </c>
      <c r="B4" t="s">
        <v>158</v>
      </c>
      <c r="C4" t="s">
        <v>153</v>
      </c>
      <c r="D4" t="s">
        <v>159</v>
      </c>
    </row>
    <row r="5" spans="1:4" x14ac:dyDescent="0.25">
      <c r="A5">
        <v>4</v>
      </c>
      <c r="B5" t="s">
        <v>160</v>
      </c>
      <c r="C5" t="s">
        <v>156</v>
      </c>
      <c r="D5" t="s">
        <v>161</v>
      </c>
    </row>
    <row r="6" spans="1:4" x14ac:dyDescent="0.25">
      <c r="A6">
        <v>5</v>
      </c>
      <c r="B6" t="s">
        <v>162</v>
      </c>
      <c r="C6" t="s">
        <v>153</v>
      </c>
      <c r="D6" t="s">
        <v>163</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E4820-774C-426B-B375-ECC9FBB4991E}">
  <sheetPr>
    <tabColor rgb="FFA6A6A6"/>
  </sheetPr>
  <dimension ref="A1:L19"/>
  <sheetViews>
    <sheetView showGridLines="0" workbookViewId="0"/>
  </sheetViews>
  <sheetFormatPr defaultRowHeight="15" x14ac:dyDescent="0.25"/>
  <cols>
    <col min="1" max="1" width="52.42578125" bestFit="1" customWidth="1"/>
    <col min="2" max="2" width="10.28515625" bestFit="1" customWidth="1"/>
    <col min="3" max="3" width="27.7109375" bestFit="1" customWidth="1"/>
    <col min="4" max="4" width="11" bestFit="1" customWidth="1"/>
    <col min="5" max="5" width="14.42578125" bestFit="1" customWidth="1"/>
    <col min="6" max="6" width="17.7109375" bestFit="1" customWidth="1"/>
    <col min="7" max="7" width="14.85546875" bestFit="1" customWidth="1"/>
    <col min="8" max="8" width="19.7109375" bestFit="1" customWidth="1"/>
    <col min="9" max="9" width="12.85546875" bestFit="1" customWidth="1"/>
    <col min="10" max="10" width="15.5703125" bestFit="1" customWidth="1"/>
    <col min="11" max="11" width="13.85546875" bestFit="1" customWidth="1"/>
    <col min="12" max="12" width="15" bestFit="1" customWidth="1"/>
  </cols>
  <sheetData>
    <row r="1" spans="1:12" x14ac:dyDescent="0.25">
      <c r="A1" s="29" t="s">
        <v>249</v>
      </c>
      <c r="B1" s="29" t="s">
        <v>250</v>
      </c>
      <c r="C1" s="29" t="s">
        <v>251</v>
      </c>
      <c r="D1" s="29" t="s">
        <v>252</v>
      </c>
      <c r="E1" s="29" t="s">
        <v>253</v>
      </c>
      <c r="F1" s="29" t="s">
        <v>254</v>
      </c>
      <c r="G1" s="29" t="s">
        <v>45</v>
      </c>
      <c r="H1" s="29" t="s">
        <v>255</v>
      </c>
      <c r="I1" s="29" t="s">
        <v>256</v>
      </c>
      <c r="J1" s="29" t="s">
        <v>257</v>
      </c>
      <c r="K1" s="29" t="s">
        <v>258</v>
      </c>
      <c r="L1" s="29" t="s">
        <v>259</v>
      </c>
    </row>
    <row r="2" spans="1:12" x14ac:dyDescent="0.25">
      <c r="A2" t="s">
        <v>206</v>
      </c>
      <c r="B2" t="s">
        <v>113</v>
      </c>
      <c r="C2" t="s">
        <v>162</v>
      </c>
      <c r="D2">
        <v>2</v>
      </c>
      <c r="E2">
        <v>4</v>
      </c>
      <c r="F2">
        <v>3</v>
      </c>
      <c r="G2">
        <v>8</v>
      </c>
      <c r="H2">
        <v>2</v>
      </c>
      <c r="I2">
        <v>6</v>
      </c>
      <c r="J2">
        <v>7</v>
      </c>
      <c r="K2" t="s">
        <v>48</v>
      </c>
      <c r="L2" t="s">
        <v>59</v>
      </c>
    </row>
    <row r="3" spans="1:12" x14ac:dyDescent="0.25">
      <c r="A3" t="s">
        <v>201</v>
      </c>
      <c r="B3" t="s">
        <v>115</v>
      </c>
      <c r="C3" t="s">
        <v>162</v>
      </c>
      <c r="D3">
        <v>2</v>
      </c>
      <c r="E3">
        <v>4</v>
      </c>
      <c r="F3">
        <v>2</v>
      </c>
      <c r="G3">
        <v>8</v>
      </c>
      <c r="H3">
        <v>2</v>
      </c>
      <c r="I3">
        <v>4</v>
      </c>
      <c r="J3">
        <v>6</v>
      </c>
      <c r="K3" t="s">
        <v>57</v>
      </c>
      <c r="L3" t="s">
        <v>58</v>
      </c>
    </row>
    <row r="4" spans="1:12" x14ac:dyDescent="0.25">
      <c r="A4" t="s">
        <v>213</v>
      </c>
      <c r="B4" t="s">
        <v>107</v>
      </c>
      <c r="C4" t="s">
        <v>160</v>
      </c>
      <c r="D4">
        <v>2</v>
      </c>
      <c r="E4">
        <v>4</v>
      </c>
      <c r="F4">
        <v>2</v>
      </c>
      <c r="G4">
        <v>8</v>
      </c>
      <c r="H4">
        <v>2</v>
      </c>
      <c r="I4">
        <v>4</v>
      </c>
      <c r="J4">
        <v>6</v>
      </c>
      <c r="K4" t="s">
        <v>57</v>
      </c>
      <c r="L4" t="s">
        <v>58</v>
      </c>
    </row>
    <row r="5" spans="1:12" x14ac:dyDescent="0.25">
      <c r="A5" t="s">
        <v>204</v>
      </c>
      <c r="B5" t="s">
        <v>109</v>
      </c>
      <c r="C5" t="s">
        <v>162</v>
      </c>
      <c r="D5">
        <v>2</v>
      </c>
      <c r="E5">
        <v>4</v>
      </c>
      <c r="F5">
        <v>4</v>
      </c>
      <c r="G5">
        <v>8</v>
      </c>
      <c r="H5">
        <v>2</v>
      </c>
      <c r="I5">
        <v>8</v>
      </c>
      <c r="J5">
        <v>7</v>
      </c>
      <c r="K5" t="s">
        <v>48</v>
      </c>
      <c r="L5" t="s">
        <v>59</v>
      </c>
    </row>
    <row r="6" spans="1:12" x14ac:dyDescent="0.25">
      <c r="A6" t="s">
        <v>215</v>
      </c>
      <c r="B6" t="s">
        <v>115</v>
      </c>
      <c r="C6" t="s">
        <v>158</v>
      </c>
      <c r="D6">
        <v>2</v>
      </c>
      <c r="E6">
        <v>1</v>
      </c>
      <c r="F6">
        <v>2</v>
      </c>
      <c r="G6">
        <v>2</v>
      </c>
      <c r="H6">
        <v>1</v>
      </c>
      <c r="I6">
        <v>2</v>
      </c>
      <c r="J6">
        <v>6</v>
      </c>
      <c r="K6" t="s">
        <v>57</v>
      </c>
      <c r="L6" t="s">
        <v>58</v>
      </c>
    </row>
    <row r="7" spans="1:12" x14ac:dyDescent="0.25">
      <c r="A7" t="s">
        <v>208</v>
      </c>
      <c r="B7" t="s">
        <v>105</v>
      </c>
      <c r="C7" t="s">
        <v>155</v>
      </c>
      <c r="D7">
        <v>1</v>
      </c>
      <c r="E7">
        <v>2</v>
      </c>
      <c r="F7">
        <v>4</v>
      </c>
      <c r="G7">
        <v>2</v>
      </c>
      <c r="H7">
        <v>1</v>
      </c>
      <c r="I7">
        <v>4</v>
      </c>
      <c r="J7">
        <v>6</v>
      </c>
      <c r="K7" t="s">
        <v>57</v>
      </c>
      <c r="L7" t="s">
        <v>58</v>
      </c>
    </row>
    <row r="8" spans="1:12" x14ac:dyDescent="0.25">
      <c r="A8" t="s">
        <v>199</v>
      </c>
      <c r="B8" t="s">
        <v>107</v>
      </c>
      <c r="C8" t="s">
        <v>152</v>
      </c>
      <c r="D8">
        <v>1</v>
      </c>
      <c r="E8">
        <v>2</v>
      </c>
      <c r="F8">
        <v>1</v>
      </c>
      <c r="G8">
        <v>2</v>
      </c>
      <c r="H8">
        <v>1</v>
      </c>
      <c r="I8">
        <v>1</v>
      </c>
      <c r="J8">
        <v>6</v>
      </c>
      <c r="K8" t="s">
        <v>57</v>
      </c>
      <c r="L8" t="s">
        <v>58</v>
      </c>
    </row>
    <row r="9" spans="1:12" x14ac:dyDescent="0.25">
      <c r="A9" t="s">
        <v>212</v>
      </c>
      <c r="B9" t="s">
        <v>105</v>
      </c>
      <c r="C9" t="s">
        <v>155</v>
      </c>
      <c r="D9">
        <v>2</v>
      </c>
      <c r="E9">
        <v>2</v>
      </c>
      <c r="F9">
        <v>2</v>
      </c>
      <c r="G9">
        <v>4</v>
      </c>
      <c r="H9">
        <v>1</v>
      </c>
      <c r="I9">
        <v>2</v>
      </c>
      <c r="J9">
        <v>6</v>
      </c>
      <c r="K9" t="s">
        <v>57</v>
      </c>
      <c r="L9" t="s">
        <v>58</v>
      </c>
    </row>
    <row r="10" spans="1:12" x14ac:dyDescent="0.25">
      <c r="A10" t="s">
        <v>214</v>
      </c>
      <c r="B10" t="s">
        <v>115</v>
      </c>
      <c r="C10" t="s">
        <v>152</v>
      </c>
      <c r="D10">
        <v>4</v>
      </c>
      <c r="E10">
        <v>2</v>
      </c>
      <c r="F10">
        <v>4</v>
      </c>
      <c r="G10">
        <v>8</v>
      </c>
      <c r="H10">
        <v>2</v>
      </c>
      <c r="I10">
        <v>8</v>
      </c>
      <c r="J10">
        <v>7</v>
      </c>
      <c r="K10" t="s">
        <v>48</v>
      </c>
      <c r="L10" t="s">
        <v>59</v>
      </c>
    </row>
    <row r="11" spans="1:12" x14ac:dyDescent="0.25">
      <c r="A11" t="s">
        <v>203</v>
      </c>
      <c r="B11" t="s">
        <v>105</v>
      </c>
      <c r="C11" t="s">
        <v>158</v>
      </c>
      <c r="D11">
        <v>4</v>
      </c>
      <c r="E11">
        <v>4</v>
      </c>
      <c r="F11">
        <v>2</v>
      </c>
      <c r="G11">
        <v>16</v>
      </c>
      <c r="H11">
        <v>4</v>
      </c>
      <c r="I11">
        <v>8</v>
      </c>
      <c r="J11">
        <v>7</v>
      </c>
      <c r="K11" t="s">
        <v>48</v>
      </c>
      <c r="L11" t="s">
        <v>59</v>
      </c>
    </row>
    <row r="12" spans="1:12" x14ac:dyDescent="0.25">
      <c r="A12" t="s">
        <v>202</v>
      </c>
      <c r="B12" t="s">
        <v>111</v>
      </c>
      <c r="C12" t="s">
        <v>162</v>
      </c>
      <c r="D12">
        <v>2</v>
      </c>
      <c r="E12">
        <v>2</v>
      </c>
      <c r="F12">
        <v>4</v>
      </c>
      <c r="G12">
        <v>4</v>
      </c>
      <c r="H12">
        <v>1</v>
      </c>
      <c r="I12">
        <v>4</v>
      </c>
      <c r="J12">
        <v>6</v>
      </c>
      <c r="K12" t="s">
        <v>57</v>
      </c>
      <c r="L12" t="s">
        <v>58</v>
      </c>
    </row>
    <row r="13" spans="1:12" x14ac:dyDescent="0.25">
      <c r="A13" t="s">
        <v>210</v>
      </c>
      <c r="B13" t="s">
        <v>107</v>
      </c>
      <c r="C13" t="s">
        <v>160</v>
      </c>
      <c r="D13">
        <v>3</v>
      </c>
      <c r="E13">
        <v>3</v>
      </c>
      <c r="F13">
        <v>3</v>
      </c>
      <c r="G13">
        <v>9</v>
      </c>
      <c r="H13">
        <v>2</v>
      </c>
      <c r="I13">
        <v>6</v>
      </c>
      <c r="J13">
        <v>7</v>
      </c>
      <c r="K13" t="s">
        <v>48</v>
      </c>
      <c r="L13" t="s">
        <v>59</v>
      </c>
    </row>
    <row r="14" spans="1:12" x14ac:dyDescent="0.25">
      <c r="A14" t="s">
        <v>207</v>
      </c>
      <c r="B14" t="s">
        <v>109</v>
      </c>
      <c r="C14" t="s">
        <v>160</v>
      </c>
      <c r="D14">
        <v>1</v>
      </c>
      <c r="E14">
        <v>2</v>
      </c>
      <c r="F14">
        <v>0</v>
      </c>
      <c r="G14">
        <v>2</v>
      </c>
      <c r="H14">
        <v>1</v>
      </c>
      <c r="I14">
        <v>0</v>
      </c>
      <c r="J14">
        <v>6</v>
      </c>
      <c r="K14" t="s">
        <v>57</v>
      </c>
      <c r="L14" t="s">
        <v>58</v>
      </c>
    </row>
    <row r="15" spans="1:12" x14ac:dyDescent="0.25">
      <c r="A15" t="s">
        <v>216</v>
      </c>
      <c r="B15" t="s">
        <v>113</v>
      </c>
      <c r="C15" t="s">
        <v>162</v>
      </c>
      <c r="D15">
        <v>3</v>
      </c>
      <c r="E15">
        <v>4</v>
      </c>
      <c r="F15">
        <v>4</v>
      </c>
      <c r="G15">
        <v>12</v>
      </c>
      <c r="H15">
        <v>3</v>
      </c>
      <c r="I15">
        <v>12</v>
      </c>
      <c r="J15">
        <v>8</v>
      </c>
      <c r="K15" t="s">
        <v>50</v>
      </c>
      <c r="L15" t="s">
        <v>60</v>
      </c>
    </row>
    <row r="16" spans="1:12" x14ac:dyDescent="0.25">
      <c r="A16" t="s">
        <v>200</v>
      </c>
      <c r="B16" t="s">
        <v>105</v>
      </c>
      <c r="C16" t="s">
        <v>152</v>
      </c>
      <c r="D16">
        <v>0</v>
      </c>
      <c r="E16">
        <v>2</v>
      </c>
      <c r="F16">
        <v>3</v>
      </c>
      <c r="G16">
        <v>0</v>
      </c>
      <c r="H16">
        <v>1</v>
      </c>
      <c r="I16">
        <v>3</v>
      </c>
      <c r="J16">
        <v>6</v>
      </c>
      <c r="K16" t="s">
        <v>57</v>
      </c>
      <c r="L16" t="s">
        <v>58</v>
      </c>
    </row>
    <row r="17" spans="1:12" x14ac:dyDescent="0.25">
      <c r="A17" t="s">
        <v>211</v>
      </c>
      <c r="B17" t="s">
        <v>105</v>
      </c>
      <c r="C17" t="s">
        <v>158</v>
      </c>
      <c r="D17">
        <v>3</v>
      </c>
      <c r="E17">
        <v>1</v>
      </c>
      <c r="F17">
        <v>2</v>
      </c>
      <c r="G17">
        <v>3</v>
      </c>
      <c r="H17">
        <v>1</v>
      </c>
      <c r="I17">
        <v>2</v>
      </c>
      <c r="J17">
        <v>6</v>
      </c>
      <c r="K17" t="s">
        <v>57</v>
      </c>
      <c r="L17" t="s">
        <v>58</v>
      </c>
    </row>
    <row r="18" spans="1:12" x14ac:dyDescent="0.25">
      <c r="A18" t="s">
        <v>205</v>
      </c>
      <c r="B18" t="s">
        <v>111</v>
      </c>
      <c r="C18" t="s">
        <v>158</v>
      </c>
      <c r="D18">
        <v>2</v>
      </c>
      <c r="E18">
        <v>1</v>
      </c>
      <c r="F18">
        <v>2</v>
      </c>
      <c r="G18">
        <v>2</v>
      </c>
      <c r="H18">
        <v>1</v>
      </c>
      <c r="I18">
        <v>2</v>
      </c>
      <c r="J18">
        <v>6</v>
      </c>
      <c r="K18" t="s">
        <v>57</v>
      </c>
      <c r="L18" t="s">
        <v>58</v>
      </c>
    </row>
    <row r="19" spans="1:12" x14ac:dyDescent="0.25">
      <c r="A19" t="s">
        <v>209</v>
      </c>
      <c r="B19" t="s">
        <v>105</v>
      </c>
      <c r="C19" t="s">
        <v>160</v>
      </c>
      <c r="D19">
        <v>4</v>
      </c>
      <c r="E19">
        <v>4</v>
      </c>
      <c r="F19">
        <v>2</v>
      </c>
      <c r="G19">
        <v>16</v>
      </c>
      <c r="H19">
        <v>4</v>
      </c>
      <c r="I19">
        <v>8</v>
      </c>
      <c r="J19">
        <v>7</v>
      </c>
      <c r="K19" t="s">
        <v>48</v>
      </c>
      <c r="L19" t="s">
        <v>59</v>
      </c>
    </row>
  </sheetData>
  <phoneticPr fontId="10" type="noConversion"/>
  <conditionalFormatting sqref="K2:K19">
    <cfRule type="expression" dxfId="14" priority="1" stopIfTrue="1">
      <formula>K2="Minimal"</formula>
    </cfRule>
    <cfRule type="expression" dxfId="13" priority="2" stopIfTrue="1">
      <formula>K2="Low"</formula>
    </cfRule>
    <cfRule type="expression" dxfId="12" priority="3" stopIfTrue="1">
      <formula>K2="Moderate"</formula>
    </cfRule>
    <cfRule type="expression" dxfId="11" priority="4" stopIfTrue="1">
      <formula>K2="High"</formula>
    </cfRule>
    <cfRule type="expression" dxfId="10"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0D30B-40DA-4AA1-BBB1-F259DAA1BA93}">
  <sheetPr>
    <tabColor rgb="FFA6A6A6"/>
  </sheetPr>
  <dimension ref="A1:D17"/>
  <sheetViews>
    <sheetView showGridLines="0" workbookViewId="0"/>
  </sheetViews>
  <sheetFormatPr defaultRowHeight="15" x14ac:dyDescent="0.25"/>
  <cols>
    <col min="1" max="1" width="50.5703125" bestFit="1" customWidth="1"/>
    <col min="2" max="2" width="9.85546875" bestFit="1" customWidth="1"/>
    <col min="3" max="3" width="11.5703125" bestFit="1" customWidth="1"/>
    <col min="4" max="4" width="14.5703125" bestFit="1" customWidth="1"/>
  </cols>
  <sheetData>
    <row r="1" spans="1:4" x14ac:dyDescent="0.25">
      <c r="A1" s="29" t="s">
        <v>116</v>
      </c>
      <c r="B1" s="29" t="s">
        <v>99</v>
      </c>
      <c r="C1" s="29" t="s">
        <v>197</v>
      </c>
      <c r="D1" s="29" t="s">
        <v>198</v>
      </c>
    </row>
    <row r="2" spans="1:4" x14ac:dyDescent="0.25">
      <c r="A2" t="s">
        <v>217</v>
      </c>
      <c r="B2" t="s">
        <v>74</v>
      </c>
      <c r="C2" t="s">
        <v>63</v>
      </c>
      <c r="D2" t="s">
        <v>73</v>
      </c>
    </row>
    <row r="3" spans="1:4" x14ac:dyDescent="0.25">
      <c r="A3" t="s">
        <v>218</v>
      </c>
      <c r="B3" t="s">
        <v>74</v>
      </c>
      <c r="C3" t="s">
        <v>63</v>
      </c>
      <c r="D3" t="s">
        <v>73</v>
      </c>
    </row>
    <row r="4" spans="1:4" x14ac:dyDescent="0.25">
      <c r="A4" t="s">
        <v>219</v>
      </c>
      <c r="B4" t="s">
        <v>74</v>
      </c>
      <c r="C4" t="s">
        <v>63</v>
      </c>
      <c r="D4" t="s">
        <v>73</v>
      </c>
    </row>
    <row r="5" spans="1:4" x14ac:dyDescent="0.25">
      <c r="A5" t="s">
        <v>220</v>
      </c>
      <c r="B5" t="s">
        <v>74</v>
      </c>
      <c r="C5" t="s">
        <v>63</v>
      </c>
      <c r="D5" t="s">
        <v>73</v>
      </c>
    </row>
    <row r="6" spans="1:4" x14ac:dyDescent="0.25">
      <c r="A6" t="s">
        <v>221</v>
      </c>
      <c r="B6" t="s">
        <v>74</v>
      </c>
      <c r="C6" t="s">
        <v>63</v>
      </c>
      <c r="D6" t="s">
        <v>73</v>
      </c>
    </row>
    <row r="7" spans="1:4" x14ac:dyDescent="0.25">
      <c r="A7" t="s">
        <v>222</v>
      </c>
      <c r="B7" t="s">
        <v>74</v>
      </c>
      <c r="C7" t="s">
        <v>63</v>
      </c>
      <c r="D7" t="s">
        <v>73</v>
      </c>
    </row>
    <row r="8" spans="1:4" x14ac:dyDescent="0.25">
      <c r="A8" t="s">
        <v>223</v>
      </c>
      <c r="B8" t="s">
        <v>74</v>
      </c>
      <c r="C8" t="s">
        <v>63</v>
      </c>
      <c r="D8" t="s">
        <v>73</v>
      </c>
    </row>
    <row r="9" spans="1:4" x14ac:dyDescent="0.25">
      <c r="A9" t="s">
        <v>224</v>
      </c>
      <c r="B9" t="s">
        <v>74</v>
      </c>
      <c r="C9" t="s">
        <v>63</v>
      </c>
      <c r="D9" t="s">
        <v>73</v>
      </c>
    </row>
    <row r="10" spans="1:4" x14ac:dyDescent="0.25">
      <c r="A10" t="s">
        <v>225</v>
      </c>
      <c r="B10" t="s">
        <v>74</v>
      </c>
      <c r="C10" t="s">
        <v>63</v>
      </c>
      <c r="D10" t="s">
        <v>73</v>
      </c>
    </row>
    <row r="11" spans="1:4" x14ac:dyDescent="0.25">
      <c r="A11" t="s">
        <v>226</v>
      </c>
      <c r="B11" t="s">
        <v>74</v>
      </c>
      <c r="C11" t="s">
        <v>63</v>
      </c>
      <c r="D11" t="s">
        <v>73</v>
      </c>
    </row>
    <row r="12" spans="1:4" x14ac:dyDescent="0.25">
      <c r="A12" t="s">
        <v>227</v>
      </c>
      <c r="B12" t="s">
        <v>74</v>
      </c>
      <c r="C12" t="s">
        <v>63</v>
      </c>
      <c r="D12" t="s">
        <v>73</v>
      </c>
    </row>
    <row r="13" spans="1:4" x14ac:dyDescent="0.25">
      <c r="A13" t="s">
        <v>228</v>
      </c>
      <c r="B13" t="s">
        <v>74</v>
      </c>
      <c r="C13" t="s">
        <v>63</v>
      </c>
      <c r="D13" t="s">
        <v>73</v>
      </c>
    </row>
    <row r="14" spans="1:4" x14ac:dyDescent="0.25">
      <c r="A14" t="s">
        <v>229</v>
      </c>
      <c r="B14" t="s">
        <v>74</v>
      </c>
      <c r="C14" t="s">
        <v>63</v>
      </c>
      <c r="D14" t="s">
        <v>73</v>
      </c>
    </row>
    <row r="15" spans="1:4" x14ac:dyDescent="0.25">
      <c r="A15" t="s">
        <v>230</v>
      </c>
      <c r="B15" t="s">
        <v>74</v>
      </c>
      <c r="C15" t="s">
        <v>63</v>
      </c>
      <c r="D15" t="s">
        <v>73</v>
      </c>
    </row>
    <row r="16" spans="1:4" x14ac:dyDescent="0.25">
      <c r="A16" t="s">
        <v>231</v>
      </c>
      <c r="B16" t="s">
        <v>74</v>
      </c>
      <c r="C16" t="s">
        <v>63</v>
      </c>
      <c r="D16" t="s">
        <v>73</v>
      </c>
    </row>
    <row r="17" spans="1:4" x14ac:dyDescent="0.25">
      <c r="A17" t="s">
        <v>232</v>
      </c>
      <c r="B17" t="s">
        <v>74</v>
      </c>
      <c r="C17" t="s">
        <v>63</v>
      </c>
      <c r="D17" t="s">
        <v>73</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EE422-964A-4844-A0D1-70A6149CD3E2}">
  <sheetPr>
    <tabColor rgb="FFA6A6A6"/>
  </sheetPr>
  <dimension ref="A1:E5"/>
  <sheetViews>
    <sheetView showGridLines="0" workbookViewId="0"/>
  </sheetViews>
  <sheetFormatPr defaultRowHeight="15" x14ac:dyDescent="0.25"/>
  <cols>
    <col min="1" max="1" width="7.28515625" bestFit="1" customWidth="1"/>
    <col min="2" max="2" width="32.42578125" bestFit="1" customWidth="1"/>
    <col min="3" max="3" width="11.28515625" bestFit="1" customWidth="1"/>
    <col min="4" max="4" width="15.85546875" bestFit="1" customWidth="1"/>
    <col min="5" max="5" width="23.140625" bestFit="1" customWidth="1"/>
  </cols>
  <sheetData>
    <row r="1" spans="1:5" x14ac:dyDescent="0.25">
      <c r="A1" s="29" t="s">
        <v>39</v>
      </c>
      <c r="B1" s="29" t="s">
        <v>116</v>
      </c>
      <c r="C1" s="29" t="s">
        <v>164</v>
      </c>
      <c r="D1" s="29" t="s">
        <v>165</v>
      </c>
      <c r="E1" s="29" t="s">
        <v>166</v>
      </c>
    </row>
    <row r="2" spans="1:5" x14ac:dyDescent="0.25">
      <c r="A2">
        <v>1</v>
      </c>
      <c r="B2" t="s">
        <v>167</v>
      </c>
      <c r="C2" t="s">
        <v>168</v>
      </c>
      <c r="D2" t="s">
        <v>169</v>
      </c>
      <c r="E2" t="s">
        <v>170</v>
      </c>
    </row>
    <row r="3" spans="1:5" x14ac:dyDescent="0.25">
      <c r="A3">
        <v>2</v>
      </c>
      <c r="B3" t="s">
        <v>171</v>
      </c>
      <c r="C3" t="s">
        <v>172</v>
      </c>
      <c r="D3" t="s">
        <v>136</v>
      </c>
      <c r="E3" t="s">
        <v>173</v>
      </c>
    </row>
    <row r="4" spans="1:5" x14ac:dyDescent="0.25">
      <c r="A4">
        <v>3</v>
      </c>
      <c r="B4" t="s">
        <v>174</v>
      </c>
      <c r="C4" t="s">
        <v>175</v>
      </c>
      <c r="D4" t="s">
        <v>176</v>
      </c>
      <c r="E4" t="s">
        <v>177</v>
      </c>
    </row>
    <row r="5" spans="1:5" x14ac:dyDescent="0.25">
      <c r="A5">
        <v>4</v>
      </c>
      <c r="B5" t="s">
        <v>178</v>
      </c>
      <c r="C5" t="s">
        <v>175</v>
      </c>
      <c r="D5" t="s">
        <v>169</v>
      </c>
      <c r="E5" t="s">
        <v>179</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45824-67BC-4855-A86C-F314D72A7A7B}">
  <sheetPr>
    <tabColor rgb="FFA6A6A6"/>
  </sheetPr>
  <dimension ref="A1:K17"/>
  <sheetViews>
    <sheetView showGridLines="0" workbookViewId="0"/>
  </sheetViews>
  <sheetFormatPr defaultRowHeight="15" x14ac:dyDescent="0.25"/>
  <cols>
    <col min="1" max="1" width="50.5703125" bestFit="1" customWidth="1"/>
    <col min="2" max="2" width="10.28515625" bestFit="1" customWidth="1"/>
    <col min="3" max="3" width="32.42578125" bestFit="1" customWidth="1"/>
    <col min="4" max="4" width="23.140625" bestFit="1" customWidth="1"/>
    <col min="5" max="5" width="13.5703125" bestFit="1" customWidth="1"/>
    <col min="6" max="6" width="14.7109375" bestFit="1" customWidth="1"/>
    <col min="7" max="7" width="9.42578125" bestFit="1" customWidth="1"/>
    <col min="8" max="8" width="10.7109375" bestFit="1" customWidth="1"/>
    <col min="9" max="9" width="17.140625" bestFit="1" customWidth="1"/>
    <col min="10" max="10" width="15.42578125" bestFit="1" customWidth="1"/>
    <col min="11" max="11" width="16.5703125" bestFit="1" customWidth="1"/>
  </cols>
  <sheetData>
    <row r="1" spans="1:11" x14ac:dyDescent="0.25">
      <c r="A1" s="29" t="s">
        <v>249</v>
      </c>
      <c r="B1" s="29" t="s">
        <v>250</v>
      </c>
      <c r="C1" s="29" t="s">
        <v>260</v>
      </c>
      <c r="D1" s="29" t="s">
        <v>166</v>
      </c>
      <c r="E1" s="29" t="s">
        <v>261</v>
      </c>
      <c r="F1" s="29" t="s">
        <v>262</v>
      </c>
      <c r="G1" s="29" t="s">
        <v>263</v>
      </c>
      <c r="H1" s="29" t="s">
        <v>63</v>
      </c>
      <c r="I1" s="29" t="s">
        <v>264</v>
      </c>
      <c r="J1" s="29" t="s">
        <v>265</v>
      </c>
      <c r="K1" s="29" t="s">
        <v>266</v>
      </c>
    </row>
    <row r="2" spans="1:11" x14ac:dyDescent="0.25">
      <c r="A2" t="s">
        <v>226</v>
      </c>
      <c r="B2" t="s">
        <v>109</v>
      </c>
      <c r="C2" t="s">
        <v>171</v>
      </c>
      <c r="D2" t="s">
        <v>173</v>
      </c>
      <c r="E2">
        <v>0</v>
      </c>
      <c r="F2">
        <v>3</v>
      </c>
      <c r="G2">
        <v>5</v>
      </c>
      <c r="H2">
        <v>8</v>
      </c>
      <c r="I2">
        <v>13</v>
      </c>
      <c r="J2" t="s">
        <v>50</v>
      </c>
      <c r="K2" t="s">
        <v>60</v>
      </c>
    </row>
    <row r="3" spans="1:11" x14ac:dyDescent="0.25">
      <c r="A3" t="s">
        <v>227</v>
      </c>
      <c r="B3" t="s">
        <v>105</v>
      </c>
      <c r="C3" t="s">
        <v>171</v>
      </c>
      <c r="D3" t="s">
        <v>173</v>
      </c>
      <c r="E3">
        <v>3</v>
      </c>
      <c r="F3">
        <v>4</v>
      </c>
      <c r="G3">
        <v>3</v>
      </c>
      <c r="H3">
        <v>10</v>
      </c>
      <c r="I3">
        <v>14</v>
      </c>
      <c r="J3" t="s">
        <v>65</v>
      </c>
      <c r="K3" t="s">
        <v>59</v>
      </c>
    </row>
    <row r="4" spans="1:11" x14ac:dyDescent="0.25">
      <c r="A4" t="s">
        <v>232</v>
      </c>
      <c r="B4" t="s">
        <v>107</v>
      </c>
      <c r="C4" t="s">
        <v>178</v>
      </c>
      <c r="D4" t="s">
        <v>179</v>
      </c>
      <c r="E4">
        <v>1</v>
      </c>
      <c r="F4">
        <v>0</v>
      </c>
      <c r="G4">
        <v>1</v>
      </c>
      <c r="H4">
        <v>2</v>
      </c>
      <c r="I4">
        <v>11</v>
      </c>
      <c r="J4" t="s">
        <v>57</v>
      </c>
      <c r="K4" t="s">
        <v>62</v>
      </c>
    </row>
    <row r="5" spans="1:11" x14ac:dyDescent="0.25">
      <c r="A5" t="s">
        <v>219</v>
      </c>
      <c r="B5" t="s">
        <v>115</v>
      </c>
      <c r="C5" t="s">
        <v>174</v>
      </c>
      <c r="D5" t="s">
        <v>177</v>
      </c>
      <c r="E5">
        <v>3</v>
      </c>
      <c r="F5">
        <v>3</v>
      </c>
      <c r="G5">
        <v>1</v>
      </c>
      <c r="H5">
        <v>7</v>
      </c>
      <c r="I5">
        <v>13</v>
      </c>
      <c r="J5" t="s">
        <v>50</v>
      </c>
      <c r="K5" t="s">
        <v>60</v>
      </c>
    </row>
    <row r="6" spans="1:11" x14ac:dyDescent="0.25">
      <c r="A6" t="s">
        <v>229</v>
      </c>
      <c r="B6" t="s">
        <v>115</v>
      </c>
      <c r="C6" t="s">
        <v>167</v>
      </c>
      <c r="D6" t="s">
        <v>170</v>
      </c>
      <c r="E6">
        <v>4</v>
      </c>
      <c r="F6">
        <v>1</v>
      </c>
      <c r="G6">
        <v>3</v>
      </c>
      <c r="H6">
        <v>8</v>
      </c>
      <c r="I6">
        <v>13</v>
      </c>
      <c r="J6" t="s">
        <v>50</v>
      </c>
      <c r="K6" t="s">
        <v>60</v>
      </c>
    </row>
    <row r="7" spans="1:11" x14ac:dyDescent="0.25">
      <c r="A7" t="s">
        <v>222</v>
      </c>
      <c r="B7" t="s">
        <v>113</v>
      </c>
      <c r="C7" t="s">
        <v>167</v>
      </c>
      <c r="D7" t="s">
        <v>170</v>
      </c>
      <c r="E7">
        <v>4</v>
      </c>
      <c r="F7">
        <v>1</v>
      </c>
      <c r="G7">
        <v>2</v>
      </c>
      <c r="H7">
        <v>7</v>
      </c>
      <c r="I7">
        <v>13</v>
      </c>
      <c r="J7" t="s">
        <v>50</v>
      </c>
      <c r="K7" t="s">
        <v>60</v>
      </c>
    </row>
    <row r="8" spans="1:11" x14ac:dyDescent="0.25">
      <c r="A8" t="s">
        <v>225</v>
      </c>
      <c r="B8" t="s">
        <v>111</v>
      </c>
      <c r="C8" t="s">
        <v>178</v>
      </c>
      <c r="D8" t="s">
        <v>179</v>
      </c>
      <c r="E8">
        <v>4</v>
      </c>
      <c r="F8">
        <v>3</v>
      </c>
      <c r="G8">
        <v>4</v>
      </c>
      <c r="H8">
        <v>11</v>
      </c>
      <c r="I8">
        <v>14</v>
      </c>
      <c r="J8" t="s">
        <v>65</v>
      </c>
      <c r="K8" t="s">
        <v>59</v>
      </c>
    </row>
    <row r="9" spans="1:11" x14ac:dyDescent="0.25">
      <c r="A9" t="s">
        <v>223</v>
      </c>
      <c r="B9" t="s">
        <v>115</v>
      </c>
      <c r="C9" t="s">
        <v>171</v>
      </c>
      <c r="D9" t="s">
        <v>173</v>
      </c>
      <c r="E9">
        <v>5</v>
      </c>
      <c r="F9">
        <v>1</v>
      </c>
      <c r="G9">
        <v>3</v>
      </c>
      <c r="H9">
        <v>9</v>
      </c>
      <c r="I9">
        <v>14</v>
      </c>
      <c r="J9" t="s">
        <v>65</v>
      </c>
      <c r="K9" t="s">
        <v>59</v>
      </c>
    </row>
    <row r="10" spans="1:11" x14ac:dyDescent="0.25">
      <c r="A10" t="s">
        <v>218</v>
      </c>
      <c r="B10" t="s">
        <v>113</v>
      </c>
      <c r="C10" t="s">
        <v>167</v>
      </c>
      <c r="D10" t="s">
        <v>170</v>
      </c>
      <c r="E10">
        <v>1</v>
      </c>
      <c r="F10">
        <v>4</v>
      </c>
      <c r="G10">
        <v>4</v>
      </c>
      <c r="H10">
        <v>9</v>
      </c>
      <c r="I10">
        <v>14</v>
      </c>
      <c r="J10" t="s">
        <v>65</v>
      </c>
      <c r="K10" t="s">
        <v>59</v>
      </c>
    </row>
    <row r="11" spans="1:11" x14ac:dyDescent="0.25">
      <c r="A11" t="s">
        <v>228</v>
      </c>
      <c r="B11" t="s">
        <v>113</v>
      </c>
      <c r="C11" t="s">
        <v>178</v>
      </c>
      <c r="D11" t="s">
        <v>179</v>
      </c>
      <c r="E11">
        <v>4</v>
      </c>
      <c r="F11">
        <v>3</v>
      </c>
      <c r="G11">
        <v>0</v>
      </c>
      <c r="H11">
        <v>7</v>
      </c>
      <c r="I11">
        <v>13</v>
      </c>
      <c r="J11" t="s">
        <v>50</v>
      </c>
      <c r="K11" t="s">
        <v>60</v>
      </c>
    </row>
    <row r="12" spans="1:11" x14ac:dyDescent="0.25">
      <c r="A12" t="s">
        <v>231</v>
      </c>
      <c r="B12" t="s">
        <v>105</v>
      </c>
      <c r="C12" t="s">
        <v>178</v>
      </c>
      <c r="D12" t="s">
        <v>179</v>
      </c>
      <c r="E12">
        <v>3</v>
      </c>
      <c r="F12">
        <v>1</v>
      </c>
      <c r="G12">
        <v>3</v>
      </c>
      <c r="H12">
        <v>7</v>
      </c>
      <c r="I12">
        <v>13</v>
      </c>
      <c r="J12" t="s">
        <v>50</v>
      </c>
      <c r="K12" t="s">
        <v>60</v>
      </c>
    </row>
    <row r="13" spans="1:11" x14ac:dyDescent="0.25">
      <c r="A13" t="s">
        <v>220</v>
      </c>
      <c r="B13" t="s">
        <v>115</v>
      </c>
      <c r="C13" t="s">
        <v>178</v>
      </c>
      <c r="D13" t="s">
        <v>179</v>
      </c>
      <c r="E13">
        <v>4</v>
      </c>
      <c r="F13">
        <v>1</v>
      </c>
      <c r="G13">
        <v>5</v>
      </c>
      <c r="H13">
        <v>10</v>
      </c>
      <c r="I13">
        <v>14</v>
      </c>
      <c r="J13" t="s">
        <v>65</v>
      </c>
      <c r="K13" t="s">
        <v>59</v>
      </c>
    </row>
    <row r="14" spans="1:11" x14ac:dyDescent="0.25">
      <c r="A14" t="s">
        <v>224</v>
      </c>
      <c r="B14" t="s">
        <v>115</v>
      </c>
      <c r="C14" t="s">
        <v>174</v>
      </c>
      <c r="D14" t="s">
        <v>177</v>
      </c>
      <c r="E14">
        <v>3</v>
      </c>
      <c r="F14">
        <v>2</v>
      </c>
      <c r="G14">
        <v>3</v>
      </c>
      <c r="H14">
        <v>8</v>
      </c>
      <c r="I14">
        <v>13</v>
      </c>
      <c r="J14" t="s">
        <v>50</v>
      </c>
      <c r="K14" t="s">
        <v>60</v>
      </c>
    </row>
    <row r="15" spans="1:11" x14ac:dyDescent="0.25">
      <c r="A15" t="s">
        <v>217</v>
      </c>
      <c r="B15" t="s">
        <v>111</v>
      </c>
      <c r="C15" t="s">
        <v>178</v>
      </c>
      <c r="D15" t="s">
        <v>179</v>
      </c>
      <c r="E15">
        <v>3</v>
      </c>
      <c r="F15">
        <v>4</v>
      </c>
      <c r="G15">
        <v>4</v>
      </c>
      <c r="H15">
        <v>11</v>
      </c>
      <c r="I15">
        <v>14</v>
      </c>
      <c r="J15" t="s">
        <v>65</v>
      </c>
      <c r="K15" t="s">
        <v>59</v>
      </c>
    </row>
    <row r="16" spans="1:11" x14ac:dyDescent="0.25">
      <c r="A16" t="s">
        <v>230</v>
      </c>
      <c r="B16" t="s">
        <v>107</v>
      </c>
      <c r="C16" t="s">
        <v>167</v>
      </c>
      <c r="D16" t="s">
        <v>170</v>
      </c>
      <c r="E16">
        <v>4</v>
      </c>
      <c r="F16">
        <v>3</v>
      </c>
      <c r="G16">
        <v>2</v>
      </c>
      <c r="H16">
        <v>9</v>
      </c>
      <c r="I16">
        <v>14</v>
      </c>
      <c r="J16" t="s">
        <v>65</v>
      </c>
      <c r="K16" t="s">
        <v>59</v>
      </c>
    </row>
    <row r="17" spans="1:11" x14ac:dyDescent="0.25">
      <c r="A17" t="s">
        <v>221</v>
      </c>
      <c r="B17" t="s">
        <v>113</v>
      </c>
      <c r="C17" t="s">
        <v>178</v>
      </c>
      <c r="D17" t="s">
        <v>179</v>
      </c>
      <c r="E17">
        <v>2</v>
      </c>
      <c r="F17">
        <v>2</v>
      </c>
      <c r="G17">
        <v>4</v>
      </c>
      <c r="H17">
        <v>8</v>
      </c>
      <c r="I17">
        <v>13</v>
      </c>
      <c r="J17" t="s">
        <v>50</v>
      </c>
      <c r="K17" t="s">
        <v>60</v>
      </c>
    </row>
  </sheetData>
  <phoneticPr fontId="10" type="noConversion"/>
  <conditionalFormatting sqref="J2:J17">
    <cfRule type="expression" dxfId="9" priority="1" stopIfTrue="1">
      <formula>J2="Minimal"</formula>
    </cfRule>
    <cfRule type="expression" dxfId="8" priority="2" stopIfTrue="1">
      <formula>J2="Limited"</formula>
    </cfRule>
    <cfRule type="expression" dxfId="7" priority="3" stopIfTrue="1">
      <formula>J2="Moderate"</formula>
    </cfRule>
    <cfRule type="expression" dxfId="6" priority="4" stopIfTrue="1">
      <formula>J2="Significant"</formula>
    </cfRule>
    <cfRule type="expression" dxfId="5"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8CBBC-9AB1-4C11-B1BD-107810A744EF}">
  <sheetPr>
    <tabColor rgb="FFA6A6A6"/>
  </sheetPr>
  <dimension ref="A1:D17"/>
  <sheetViews>
    <sheetView showGridLines="0" workbookViewId="0"/>
  </sheetViews>
  <sheetFormatPr defaultRowHeight="15" x14ac:dyDescent="0.25"/>
  <cols>
    <col min="1" max="1" width="47.85546875" bestFit="1" customWidth="1"/>
    <col min="2" max="2" width="10.28515625" bestFit="1" customWidth="1"/>
    <col min="3" max="3" width="11.5703125" bestFit="1" customWidth="1"/>
    <col min="4" max="4" width="14.5703125" bestFit="1" customWidth="1"/>
  </cols>
  <sheetData>
    <row r="1" spans="1:4" x14ac:dyDescent="0.25">
      <c r="A1" s="29" t="s">
        <v>116</v>
      </c>
      <c r="B1" s="29" t="s">
        <v>99</v>
      </c>
      <c r="C1" s="29" t="s">
        <v>197</v>
      </c>
      <c r="D1" s="29" t="s">
        <v>198</v>
      </c>
    </row>
    <row r="2" spans="1:4" x14ac:dyDescent="0.25">
      <c r="A2" t="s">
        <v>233</v>
      </c>
      <c r="B2" t="s">
        <v>72</v>
      </c>
      <c r="C2" t="s">
        <v>63</v>
      </c>
      <c r="D2" t="s">
        <v>73</v>
      </c>
    </row>
    <row r="3" spans="1:4" x14ac:dyDescent="0.25">
      <c r="A3" t="s">
        <v>234</v>
      </c>
      <c r="B3" t="s">
        <v>72</v>
      </c>
      <c r="C3" t="s">
        <v>63</v>
      </c>
      <c r="D3" t="s">
        <v>73</v>
      </c>
    </row>
    <row r="4" spans="1:4" x14ac:dyDescent="0.25">
      <c r="A4" t="s">
        <v>235</v>
      </c>
      <c r="B4" t="s">
        <v>72</v>
      </c>
      <c r="C4" t="s">
        <v>63</v>
      </c>
      <c r="D4" t="s">
        <v>73</v>
      </c>
    </row>
    <row r="5" spans="1:4" x14ac:dyDescent="0.25">
      <c r="A5" t="s">
        <v>236</v>
      </c>
      <c r="B5" t="s">
        <v>72</v>
      </c>
      <c r="C5" t="s">
        <v>63</v>
      </c>
      <c r="D5" t="s">
        <v>73</v>
      </c>
    </row>
    <row r="6" spans="1:4" x14ac:dyDescent="0.25">
      <c r="A6" t="s">
        <v>237</v>
      </c>
      <c r="B6" t="s">
        <v>72</v>
      </c>
      <c r="C6" t="s">
        <v>63</v>
      </c>
      <c r="D6" t="s">
        <v>73</v>
      </c>
    </row>
    <row r="7" spans="1:4" x14ac:dyDescent="0.25">
      <c r="A7" t="s">
        <v>238</v>
      </c>
      <c r="B7" t="s">
        <v>72</v>
      </c>
      <c r="C7" t="s">
        <v>63</v>
      </c>
      <c r="D7" t="s">
        <v>73</v>
      </c>
    </row>
    <row r="8" spans="1:4" x14ac:dyDescent="0.25">
      <c r="A8" t="s">
        <v>239</v>
      </c>
      <c r="B8" t="s">
        <v>72</v>
      </c>
      <c r="C8" t="s">
        <v>63</v>
      </c>
      <c r="D8" t="s">
        <v>73</v>
      </c>
    </row>
    <row r="9" spans="1:4" x14ac:dyDescent="0.25">
      <c r="A9" t="s">
        <v>240</v>
      </c>
      <c r="B9" t="s">
        <v>72</v>
      </c>
      <c r="C9" t="s">
        <v>63</v>
      </c>
      <c r="D9" t="s">
        <v>73</v>
      </c>
    </row>
    <row r="10" spans="1:4" x14ac:dyDescent="0.25">
      <c r="A10" t="s">
        <v>241</v>
      </c>
      <c r="B10" t="s">
        <v>72</v>
      </c>
      <c r="C10" t="s">
        <v>63</v>
      </c>
      <c r="D10" t="s">
        <v>73</v>
      </c>
    </row>
    <row r="11" spans="1:4" x14ac:dyDescent="0.25">
      <c r="A11" t="s">
        <v>242</v>
      </c>
      <c r="B11" t="s">
        <v>72</v>
      </c>
      <c r="C11" t="s">
        <v>63</v>
      </c>
      <c r="D11" t="s">
        <v>73</v>
      </c>
    </row>
    <row r="12" spans="1:4" x14ac:dyDescent="0.25">
      <c r="A12" t="s">
        <v>243</v>
      </c>
      <c r="B12" t="s">
        <v>72</v>
      </c>
      <c r="C12" t="s">
        <v>63</v>
      </c>
      <c r="D12" t="s">
        <v>73</v>
      </c>
    </row>
    <row r="13" spans="1:4" x14ac:dyDescent="0.25">
      <c r="A13" t="s">
        <v>244</v>
      </c>
      <c r="B13" t="s">
        <v>72</v>
      </c>
      <c r="C13" t="s">
        <v>63</v>
      </c>
      <c r="D13" t="s">
        <v>73</v>
      </c>
    </row>
    <row r="14" spans="1:4" x14ac:dyDescent="0.25">
      <c r="A14" t="s">
        <v>245</v>
      </c>
      <c r="B14" t="s">
        <v>72</v>
      </c>
      <c r="C14" t="s">
        <v>63</v>
      </c>
      <c r="D14" t="s">
        <v>73</v>
      </c>
    </row>
    <row r="15" spans="1:4" x14ac:dyDescent="0.25">
      <c r="A15" t="s">
        <v>246</v>
      </c>
      <c r="B15" t="s">
        <v>72</v>
      </c>
      <c r="C15" t="s">
        <v>63</v>
      </c>
      <c r="D15" t="s">
        <v>73</v>
      </c>
    </row>
    <row r="16" spans="1:4" x14ac:dyDescent="0.25">
      <c r="A16" t="s">
        <v>247</v>
      </c>
      <c r="B16" t="s">
        <v>72</v>
      </c>
      <c r="C16" t="s">
        <v>63</v>
      </c>
      <c r="D16" t="s">
        <v>73</v>
      </c>
    </row>
    <row r="17" spans="1:4" x14ac:dyDescent="0.25">
      <c r="A17" t="s">
        <v>248</v>
      </c>
      <c r="B17" t="s">
        <v>72</v>
      </c>
      <c r="C17" t="s">
        <v>63</v>
      </c>
      <c r="D17" t="s">
        <v>73</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8A9A6-1FC2-4AD6-9035-6631E69CCF37}">
  <sheetPr>
    <tabColor rgb="FFA6A6A6"/>
  </sheetPr>
  <dimension ref="A1:E5"/>
  <sheetViews>
    <sheetView showGridLines="0" workbookViewId="0"/>
  </sheetViews>
  <sheetFormatPr defaultRowHeight="15" x14ac:dyDescent="0.25"/>
  <cols>
    <col min="1" max="1" width="7.28515625" bestFit="1" customWidth="1"/>
    <col min="2" max="2" width="19.28515625" bestFit="1" customWidth="1"/>
    <col min="3" max="3" width="13.28515625" bestFit="1" customWidth="1"/>
    <col min="4" max="4" width="12.5703125" bestFit="1" customWidth="1"/>
    <col min="5" max="5" width="24.42578125" bestFit="1" customWidth="1"/>
  </cols>
  <sheetData>
    <row r="1" spans="1:5" x14ac:dyDescent="0.25">
      <c r="A1" s="29" t="s">
        <v>39</v>
      </c>
      <c r="B1" s="29" t="s">
        <v>116</v>
      </c>
      <c r="C1" s="29" t="s">
        <v>164</v>
      </c>
      <c r="D1" s="29" t="s">
        <v>165</v>
      </c>
      <c r="E1" s="29" t="s">
        <v>180</v>
      </c>
    </row>
    <row r="2" spans="1:5" x14ac:dyDescent="0.25">
      <c r="A2">
        <v>1</v>
      </c>
      <c r="B2" t="s">
        <v>181</v>
      </c>
      <c r="C2" t="s">
        <v>182</v>
      </c>
      <c r="D2" t="s">
        <v>183</v>
      </c>
      <c r="E2" t="s">
        <v>184</v>
      </c>
    </row>
    <row r="3" spans="1:5" x14ac:dyDescent="0.25">
      <c r="A3">
        <v>2</v>
      </c>
      <c r="B3" t="s">
        <v>185</v>
      </c>
      <c r="C3" t="s">
        <v>182</v>
      </c>
      <c r="D3" t="s">
        <v>136</v>
      </c>
      <c r="E3" t="s">
        <v>186</v>
      </c>
    </row>
    <row r="4" spans="1:5" x14ac:dyDescent="0.25">
      <c r="A4">
        <v>3</v>
      </c>
      <c r="B4" t="s">
        <v>187</v>
      </c>
      <c r="C4" t="s">
        <v>188</v>
      </c>
      <c r="D4" t="s">
        <v>189</v>
      </c>
      <c r="E4" t="s">
        <v>190</v>
      </c>
    </row>
    <row r="5" spans="1:5" x14ac:dyDescent="0.25">
      <c r="A5">
        <v>4</v>
      </c>
      <c r="B5" t="s">
        <v>191</v>
      </c>
      <c r="C5" t="s">
        <v>188</v>
      </c>
      <c r="D5" t="s">
        <v>176</v>
      </c>
      <c r="E5" t="s">
        <v>192</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1C89-E62D-4C8E-BF66-2D7B92427450}">
  <sheetPr>
    <tabColor rgb="FFA6A6A6"/>
  </sheetPr>
  <dimension ref="A1:K17"/>
  <sheetViews>
    <sheetView showGridLines="0" workbookViewId="0"/>
  </sheetViews>
  <sheetFormatPr defaultRowHeight="15" x14ac:dyDescent="0.25"/>
  <cols>
    <col min="1" max="1" width="47.85546875" bestFit="1" customWidth="1"/>
    <col min="2" max="2" width="10.28515625" bestFit="1" customWidth="1"/>
    <col min="3" max="3" width="19.28515625" bestFit="1" customWidth="1"/>
    <col min="4" max="4" width="24.42578125" bestFit="1" customWidth="1"/>
    <col min="5" max="5" width="14.85546875" bestFit="1" customWidth="1"/>
    <col min="6" max="6" width="16.85546875" bestFit="1" customWidth="1"/>
    <col min="7" max="7" width="13" bestFit="1" customWidth="1"/>
    <col min="8" max="8" width="10.7109375" bestFit="1" customWidth="1"/>
    <col min="9" max="9" width="17.140625" bestFit="1" customWidth="1"/>
    <col min="10" max="10" width="15.42578125" bestFit="1" customWidth="1"/>
    <col min="11" max="11" width="16.5703125" bestFit="1" customWidth="1"/>
  </cols>
  <sheetData>
    <row r="1" spans="1:11" x14ac:dyDescent="0.25">
      <c r="A1" s="29" t="s">
        <v>249</v>
      </c>
      <c r="B1" s="29" t="s">
        <v>250</v>
      </c>
      <c r="C1" s="29" t="s">
        <v>267</v>
      </c>
      <c r="D1" s="29" t="s">
        <v>180</v>
      </c>
      <c r="E1" s="29" t="s">
        <v>268</v>
      </c>
      <c r="F1" s="29" t="s">
        <v>269</v>
      </c>
      <c r="G1" s="29" t="s">
        <v>270</v>
      </c>
      <c r="H1" s="29" t="s">
        <v>63</v>
      </c>
      <c r="I1" s="29" t="s">
        <v>264</v>
      </c>
      <c r="J1" s="29" t="s">
        <v>265</v>
      </c>
      <c r="K1" s="29" t="s">
        <v>266</v>
      </c>
    </row>
    <row r="2" spans="1:11" x14ac:dyDescent="0.25">
      <c r="A2" t="s">
        <v>237</v>
      </c>
      <c r="B2" t="s">
        <v>111</v>
      </c>
      <c r="C2" t="s">
        <v>185</v>
      </c>
      <c r="D2" t="s">
        <v>186</v>
      </c>
      <c r="E2">
        <v>2</v>
      </c>
      <c r="F2">
        <v>2</v>
      </c>
      <c r="G2">
        <v>2</v>
      </c>
      <c r="H2">
        <v>6</v>
      </c>
      <c r="I2">
        <v>13</v>
      </c>
      <c r="J2" t="s">
        <v>50</v>
      </c>
      <c r="K2" t="s">
        <v>60</v>
      </c>
    </row>
    <row r="3" spans="1:11" x14ac:dyDescent="0.25">
      <c r="A3" t="s">
        <v>244</v>
      </c>
      <c r="B3" t="s">
        <v>113</v>
      </c>
      <c r="C3" t="s">
        <v>187</v>
      </c>
      <c r="D3" t="s">
        <v>190</v>
      </c>
      <c r="E3">
        <v>2</v>
      </c>
      <c r="F3">
        <v>2</v>
      </c>
      <c r="G3">
        <v>2</v>
      </c>
      <c r="H3">
        <v>6</v>
      </c>
      <c r="I3">
        <v>13</v>
      </c>
      <c r="J3" t="s">
        <v>50</v>
      </c>
      <c r="K3" t="s">
        <v>60</v>
      </c>
    </row>
    <row r="4" spans="1:11" x14ac:dyDescent="0.25">
      <c r="A4" t="s">
        <v>247</v>
      </c>
      <c r="B4" t="s">
        <v>107</v>
      </c>
      <c r="C4" t="s">
        <v>191</v>
      </c>
      <c r="D4" t="s">
        <v>192</v>
      </c>
      <c r="E4">
        <v>3</v>
      </c>
      <c r="F4">
        <v>3</v>
      </c>
      <c r="G4">
        <v>1</v>
      </c>
      <c r="H4">
        <v>7</v>
      </c>
      <c r="I4">
        <v>13</v>
      </c>
      <c r="J4" t="s">
        <v>50</v>
      </c>
      <c r="K4" t="s">
        <v>60</v>
      </c>
    </row>
    <row r="5" spans="1:11" x14ac:dyDescent="0.25">
      <c r="A5" t="s">
        <v>238</v>
      </c>
      <c r="B5" t="s">
        <v>115</v>
      </c>
      <c r="C5" t="s">
        <v>191</v>
      </c>
      <c r="D5" t="s">
        <v>192</v>
      </c>
      <c r="E5">
        <v>2</v>
      </c>
      <c r="F5">
        <v>4</v>
      </c>
      <c r="G5">
        <v>3</v>
      </c>
      <c r="H5">
        <v>9</v>
      </c>
      <c r="I5">
        <v>14</v>
      </c>
      <c r="J5" t="s">
        <v>65</v>
      </c>
      <c r="K5" t="s">
        <v>59</v>
      </c>
    </row>
    <row r="6" spans="1:11" x14ac:dyDescent="0.25">
      <c r="A6" t="s">
        <v>235</v>
      </c>
      <c r="B6" t="s">
        <v>111</v>
      </c>
      <c r="C6" t="s">
        <v>185</v>
      </c>
      <c r="D6" t="s">
        <v>186</v>
      </c>
      <c r="E6">
        <v>2</v>
      </c>
      <c r="F6">
        <v>0</v>
      </c>
      <c r="G6">
        <v>2</v>
      </c>
      <c r="H6">
        <v>4</v>
      </c>
      <c r="I6">
        <v>12</v>
      </c>
      <c r="J6" t="s">
        <v>64</v>
      </c>
      <c r="K6" t="s">
        <v>61</v>
      </c>
    </row>
    <row r="7" spans="1:11" x14ac:dyDescent="0.25">
      <c r="A7" t="s">
        <v>241</v>
      </c>
      <c r="B7" t="s">
        <v>113</v>
      </c>
      <c r="C7" t="s">
        <v>187</v>
      </c>
      <c r="D7" t="s">
        <v>190</v>
      </c>
      <c r="E7">
        <v>2</v>
      </c>
      <c r="F7">
        <v>3</v>
      </c>
      <c r="G7">
        <v>2</v>
      </c>
      <c r="H7">
        <v>7</v>
      </c>
      <c r="I7">
        <v>13</v>
      </c>
      <c r="J7" t="s">
        <v>50</v>
      </c>
      <c r="K7" t="s">
        <v>60</v>
      </c>
    </row>
    <row r="8" spans="1:11" x14ac:dyDescent="0.25">
      <c r="A8" t="s">
        <v>246</v>
      </c>
      <c r="B8" t="s">
        <v>115</v>
      </c>
      <c r="C8" t="s">
        <v>191</v>
      </c>
      <c r="D8" t="s">
        <v>192</v>
      </c>
      <c r="E8">
        <v>2</v>
      </c>
      <c r="F8">
        <v>3</v>
      </c>
      <c r="G8">
        <v>2</v>
      </c>
      <c r="H8">
        <v>7</v>
      </c>
      <c r="I8">
        <v>13</v>
      </c>
      <c r="J8" t="s">
        <v>50</v>
      </c>
      <c r="K8" t="s">
        <v>60</v>
      </c>
    </row>
    <row r="9" spans="1:11" x14ac:dyDescent="0.25">
      <c r="A9" t="s">
        <v>236</v>
      </c>
      <c r="B9" t="s">
        <v>107</v>
      </c>
      <c r="C9" t="s">
        <v>187</v>
      </c>
      <c r="D9" t="s">
        <v>190</v>
      </c>
      <c r="E9">
        <v>2</v>
      </c>
      <c r="F9">
        <v>2</v>
      </c>
      <c r="G9">
        <v>1</v>
      </c>
      <c r="H9">
        <v>5</v>
      </c>
      <c r="I9">
        <v>12</v>
      </c>
      <c r="J9" t="s">
        <v>64</v>
      </c>
      <c r="K9" t="s">
        <v>61</v>
      </c>
    </row>
    <row r="10" spans="1:11" x14ac:dyDescent="0.25">
      <c r="A10" t="s">
        <v>233</v>
      </c>
      <c r="B10" t="s">
        <v>107</v>
      </c>
      <c r="C10" t="s">
        <v>185</v>
      </c>
      <c r="D10" t="s">
        <v>186</v>
      </c>
      <c r="E10">
        <v>1</v>
      </c>
      <c r="F10">
        <v>3</v>
      </c>
      <c r="G10">
        <v>4</v>
      </c>
      <c r="H10">
        <v>8</v>
      </c>
      <c r="I10">
        <v>13</v>
      </c>
      <c r="J10" t="s">
        <v>50</v>
      </c>
      <c r="K10" t="s">
        <v>60</v>
      </c>
    </row>
    <row r="11" spans="1:11" x14ac:dyDescent="0.25">
      <c r="A11" t="s">
        <v>239</v>
      </c>
      <c r="B11" t="s">
        <v>113</v>
      </c>
      <c r="C11" t="s">
        <v>187</v>
      </c>
      <c r="D11" t="s">
        <v>190</v>
      </c>
      <c r="E11">
        <v>1</v>
      </c>
      <c r="F11">
        <v>2</v>
      </c>
      <c r="G11">
        <v>3</v>
      </c>
      <c r="H11">
        <v>6</v>
      </c>
      <c r="I11">
        <v>13</v>
      </c>
      <c r="J11" t="s">
        <v>50</v>
      </c>
      <c r="K11" t="s">
        <v>60</v>
      </c>
    </row>
    <row r="12" spans="1:11" x14ac:dyDescent="0.25">
      <c r="A12" t="s">
        <v>245</v>
      </c>
      <c r="B12" t="s">
        <v>109</v>
      </c>
      <c r="C12" t="s">
        <v>185</v>
      </c>
      <c r="D12" t="s">
        <v>186</v>
      </c>
      <c r="E12">
        <v>5</v>
      </c>
      <c r="F12">
        <v>4</v>
      </c>
      <c r="G12">
        <v>2</v>
      </c>
      <c r="H12">
        <v>11</v>
      </c>
      <c r="I12">
        <v>14</v>
      </c>
      <c r="J12" t="s">
        <v>65</v>
      </c>
      <c r="K12" t="s">
        <v>59</v>
      </c>
    </row>
    <row r="13" spans="1:11" x14ac:dyDescent="0.25">
      <c r="A13" t="s">
        <v>243</v>
      </c>
      <c r="B13" t="s">
        <v>105</v>
      </c>
      <c r="C13" t="s">
        <v>181</v>
      </c>
      <c r="D13" t="s">
        <v>184</v>
      </c>
      <c r="E13">
        <v>2</v>
      </c>
      <c r="F13">
        <v>3</v>
      </c>
      <c r="G13">
        <v>1</v>
      </c>
      <c r="H13">
        <v>6</v>
      </c>
      <c r="I13">
        <v>13</v>
      </c>
      <c r="J13" t="s">
        <v>50</v>
      </c>
      <c r="K13" t="s">
        <v>60</v>
      </c>
    </row>
    <row r="14" spans="1:11" x14ac:dyDescent="0.25">
      <c r="A14" t="s">
        <v>234</v>
      </c>
      <c r="B14" t="s">
        <v>111</v>
      </c>
      <c r="C14" t="s">
        <v>181</v>
      </c>
      <c r="D14" t="s">
        <v>184</v>
      </c>
      <c r="E14">
        <v>3</v>
      </c>
      <c r="F14">
        <v>3</v>
      </c>
      <c r="G14">
        <v>1</v>
      </c>
      <c r="H14">
        <v>7</v>
      </c>
      <c r="I14">
        <v>13</v>
      </c>
      <c r="J14" t="s">
        <v>50</v>
      </c>
      <c r="K14" t="s">
        <v>60</v>
      </c>
    </row>
    <row r="15" spans="1:11" x14ac:dyDescent="0.25">
      <c r="A15" t="s">
        <v>242</v>
      </c>
      <c r="B15" t="s">
        <v>111</v>
      </c>
      <c r="C15" t="s">
        <v>187</v>
      </c>
      <c r="D15" t="s">
        <v>190</v>
      </c>
      <c r="E15">
        <v>4</v>
      </c>
      <c r="F15">
        <v>3</v>
      </c>
      <c r="G15">
        <v>2</v>
      </c>
      <c r="H15">
        <v>9</v>
      </c>
      <c r="I15">
        <v>14</v>
      </c>
      <c r="J15" t="s">
        <v>65</v>
      </c>
      <c r="K15" t="s">
        <v>59</v>
      </c>
    </row>
    <row r="16" spans="1:11" x14ac:dyDescent="0.25">
      <c r="A16" t="s">
        <v>248</v>
      </c>
      <c r="B16" t="s">
        <v>111</v>
      </c>
      <c r="C16" t="s">
        <v>181</v>
      </c>
      <c r="D16" t="s">
        <v>184</v>
      </c>
      <c r="E16">
        <v>1</v>
      </c>
      <c r="F16">
        <v>0</v>
      </c>
      <c r="G16">
        <v>5</v>
      </c>
      <c r="H16">
        <v>6</v>
      </c>
      <c r="I16">
        <v>13</v>
      </c>
      <c r="J16" t="s">
        <v>50</v>
      </c>
      <c r="K16" t="s">
        <v>60</v>
      </c>
    </row>
    <row r="17" spans="1:11" x14ac:dyDescent="0.25">
      <c r="A17" t="s">
        <v>240</v>
      </c>
      <c r="B17" t="s">
        <v>115</v>
      </c>
      <c r="C17" t="s">
        <v>181</v>
      </c>
      <c r="D17" t="s">
        <v>184</v>
      </c>
      <c r="E17">
        <v>4</v>
      </c>
      <c r="F17">
        <v>2</v>
      </c>
      <c r="G17">
        <v>1</v>
      </c>
      <c r="H17">
        <v>7</v>
      </c>
      <c r="I17">
        <v>13</v>
      </c>
      <c r="J17" t="s">
        <v>50</v>
      </c>
      <c r="K17" t="s">
        <v>60</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38</v>
      </c>
      <c r="B1" s="12" t="s">
        <v>39</v>
      </c>
      <c r="C1" s="12" t="s">
        <v>40</v>
      </c>
      <c r="D1" s="12" t="s">
        <v>41</v>
      </c>
      <c r="E1" s="12" t="s">
        <v>42</v>
      </c>
      <c r="F1" s="12" t="s">
        <v>43</v>
      </c>
      <c r="I1" s="30" t="s">
        <v>44</v>
      </c>
      <c r="J1" s="31"/>
      <c r="K1" s="31"/>
      <c r="L1" s="31"/>
      <c r="M1" s="32"/>
    </row>
    <row r="2" spans="1:13" x14ac:dyDescent="0.25">
      <c r="A2" s="13">
        <v>0</v>
      </c>
      <c r="B2" s="13">
        <v>1</v>
      </c>
      <c r="C2" s="13" t="s">
        <v>45</v>
      </c>
      <c r="D2" s="13">
        <v>5</v>
      </c>
      <c r="E2" s="13" t="s">
        <v>46</v>
      </c>
      <c r="F2" s="13" t="s">
        <v>47</v>
      </c>
      <c r="G2" s="14"/>
      <c r="I2" s="33"/>
      <c r="J2" s="34"/>
      <c r="K2" s="34"/>
      <c r="L2" s="34"/>
      <c r="M2" s="35"/>
    </row>
    <row r="3" spans="1:13" x14ac:dyDescent="0.25">
      <c r="A3" s="13">
        <v>5</v>
      </c>
      <c r="B3" s="13">
        <v>2</v>
      </c>
      <c r="C3" s="13" t="s">
        <v>45</v>
      </c>
      <c r="D3" s="13">
        <v>10</v>
      </c>
      <c r="E3" s="13" t="s">
        <v>48</v>
      </c>
      <c r="F3" s="13" t="s">
        <v>49</v>
      </c>
      <c r="G3" s="15"/>
      <c r="I3" s="33"/>
      <c r="J3" s="34"/>
      <c r="K3" s="34"/>
      <c r="L3" s="34"/>
      <c r="M3" s="35"/>
    </row>
    <row r="4" spans="1:13" x14ac:dyDescent="0.25">
      <c r="A4" s="13">
        <v>10</v>
      </c>
      <c r="B4" s="13">
        <v>3</v>
      </c>
      <c r="C4" s="13" t="s">
        <v>45</v>
      </c>
      <c r="D4" s="13">
        <v>15</v>
      </c>
      <c r="E4" s="13" t="s">
        <v>50</v>
      </c>
      <c r="F4" s="13" t="s">
        <v>51</v>
      </c>
      <c r="G4" s="16"/>
      <c r="I4" s="36"/>
      <c r="J4" s="37"/>
      <c r="K4" s="37"/>
      <c r="L4" s="37"/>
      <c r="M4" s="38"/>
    </row>
    <row r="5" spans="1:13" x14ac:dyDescent="0.25">
      <c r="A5" s="13">
        <v>15</v>
      </c>
      <c r="B5" s="13">
        <v>4</v>
      </c>
      <c r="C5" s="13" t="s">
        <v>45</v>
      </c>
      <c r="D5" s="13">
        <v>20</v>
      </c>
      <c r="E5" s="13" t="s">
        <v>52</v>
      </c>
      <c r="F5" s="13" t="s">
        <v>53</v>
      </c>
      <c r="G5" s="17"/>
    </row>
    <row r="6" spans="1:13" x14ac:dyDescent="0.25">
      <c r="A6" s="13">
        <v>20</v>
      </c>
      <c r="B6" s="13">
        <v>5</v>
      </c>
      <c r="C6" s="13" t="s">
        <v>45</v>
      </c>
      <c r="D6" s="13">
        <v>25</v>
      </c>
      <c r="E6" s="13" t="s">
        <v>54</v>
      </c>
      <c r="F6" s="13" t="s">
        <v>55</v>
      </c>
      <c r="G6" s="18"/>
    </row>
    <row r="7" spans="1:13" x14ac:dyDescent="0.25">
      <c r="A7" s="13">
        <v>0</v>
      </c>
      <c r="B7" s="13">
        <v>6</v>
      </c>
      <c r="C7" s="13" t="s">
        <v>56</v>
      </c>
      <c r="D7" s="13">
        <v>5</v>
      </c>
      <c r="E7" s="13" t="s">
        <v>57</v>
      </c>
      <c r="F7" s="13" t="s">
        <v>58</v>
      </c>
      <c r="G7" s="19"/>
    </row>
    <row r="8" spans="1:13" x14ac:dyDescent="0.25">
      <c r="A8" s="13">
        <v>5</v>
      </c>
      <c r="B8" s="13">
        <v>7</v>
      </c>
      <c r="C8" s="13" t="s">
        <v>56</v>
      </c>
      <c r="D8" s="13">
        <v>10</v>
      </c>
      <c r="E8" s="13" t="s">
        <v>48</v>
      </c>
      <c r="F8" s="13" t="s">
        <v>59</v>
      </c>
      <c r="G8" s="20"/>
    </row>
    <row r="9" spans="1:13" x14ac:dyDescent="0.25">
      <c r="A9" s="13">
        <v>10</v>
      </c>
      <c r="B9" s="13">
        <v>8</v>
      </c>
      <c r="C9" s="13" t="s">
        <v>56</v>
      </c>
      <c r="D9" s="13">
        <v>15</v>
      </c>
      <c r="E9" s="13" t="s">
        <v>50</v>
      </c>
      <c r="F9" s="13" t="s">
        <v>60</v>
      </c>
      <c r="G9" s="21"/>
    </row>
    <row r="10" spans="1:13" x14ac:dyDescent="0.25">
      <c r="A10" s="13">
        <v>15</v>
      </c>
      <c r="B10" s="13">
        <v>9</v>
      </c>
      <c r="C10" s="13" t="s">
        <v>56</v>
      </c>
      <c r="D10" s="13">
        <v>20</v>
      </c>
      <c r="E10" s="13" t="s">
        <v>52</v>
      </c>
      <c r="F10" s="13" t="s">
        <v>61</v>
      </c>
      <c r="G10" s="22"/>
    </row>
    <row r="11" spans="1:13" x14ac:dyDescent="0.25">
      <c r="A11" s="13">
        <v>20</v>
      </c>
      <c r="B11" s="13">
        <v>10</v>
      </c>
      <c r="C11" s="13" t="s">
        <v>56</v>
      </c>
      <c r="D11" s="13">
        <v>25</v>
      </c>
      <c r="E11" s="13" t="s">
        <v>54</v>
      </c>
      <c r="F11" s="13" t="s">
        <v>62</v>
      </c>
      <c r="G11" s="23"/>
    </row>
    <row r="12" spans="1:13" x14ac:dyDescent="0.25">
      <c r="A12" s="13">
        <v>0</v>
      </c>
      <c r="B12" s="13">
        <v>11</v>
      </c>
      <c r="C12" s="13" t="s">
        <v>63</v>
      </c>
      <c r="D12" s="13">
        <v>3</v>
      </c>
      <c r="E12" s="13" t="s">
        <v>57</v>
      </c>
      <c r="F12" s="13" t="s">
        <v>62</v>
      </c>
      <c r="G12" s="23"/>
    </row>
    <row r="13" spans="1:13" x14ac:dyDescent="0.25">
      <c r="A13" s="13">
        <v>3</v>
      </c>
      <c r="B13" s="13">
        <v>12</v>
      </c>
      <c r="C13" s="13" t="s">
        <v>63</v>
      </c>
      <c r="D13" s="13">
        <v>6</v>
      </c>
      <c r="E13" s="13" t="s">
        <v>64</v>
      </c>
      <c r="F13" s="13" t="s">
        <v>61</v>
      </c>
      <c r="G13" s="22"/>
    </row>
    <row r="14" spans="1:13" x14ac:dyDescent="0.25">
      <c r="A14" s="13">
        <v>6</v>
      </c>
      <c r="B14" s="13">
        <v>13</v>
      </c>
      <c r="C14" s="13" t="s">
        <v>63</v>
      </c>
      <c r="D14" s="13">
        <v>9</v>
      </c>
      <c r="E14" s="13" t="s">
        <v>50</v>
      </c>
      <c r="F14" s="13" t="s">
        <v>60</v>
      </c>
      <c r="G14" s="21"/>
    </row>
    <row r="15" spans="1:13" x14ac:dyDescent="0.25">
      <c r="A15" s="13">
        <v>9</v>
      </c>
      <c r="B15" s="13">
        <v>14</v>
      </c>
      <c r="C15" s="13" t="s">
        <v>63</v>
      </c>
      <c r="D15" s="13">
        <v>12</v>
      </c>
      <c r="E15" s="13" t="s">
        <v>65</v>
      </c>
      <c r="F15" s="13" t="s">
        <v>59</v>
      </c>
      <c r="G15" s="20"/>
    </row>
    <row r="16" spans="1:13" x14ac:dyDescent="0.25">
      <c r="A16" s="13">
        <v>12</v>
      </c>
      <c r="B16" s="13">
        <v>15</v>
      </c>
      <c r="C16" s="13" t="s">
        <v>63</v>
      </c>
      <c r="D16" s="13">
        <v>15</v>
      </c>
      <c r="E16" s="13" t="s">
        <v>66</v>
      </c>
      <c r="F16" s="13" t="s">
        <v>58</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67</v>
      </c>
    </row>
    <row r="3" spans="1:7" x14ac:dyDescent="0.25">
      <c r="A3" s="8" t="s">
        <v>68</v>
      </c>
      <c r="C3" s="8" t="s">
        <v>69</v>
      </c>
      <c r="E3" s="8" t="s">
        <v>70</v>
      </c>
      <c r="G3" s="8" t="s">
        <v>71</v>
      </c>
    </row>
    <row r="4" spans="1:7" x14ac:dyDescent="0.25">
      <c r="A4" s="6" t="s">
        <v>72</v>
      </c>
      <c r="C4" s="6" t="s">
        <v>73</v>
      </c>
      <c r="E4" s="6" t="s">
        <v>73</v>
      </c>
      <c r="G4" s="24">
        <v>0</v>
      </c>
    </row>
    <row r="5" spans="1:7" x14ac:dyDescent="0.25">
      <c r="A5" s="6" t="s">
        <v>74</v>
      </c>
      <c r="C5" s="6" t="s">
        <v>75</v>
      </c>
      <c r="E5" s="6" t="s">
        <v>76</v>
      </c>
      <c r="G5" s="24">
        <v>0.05</v>
      </c>
    </row>
    <row r="6" spans="1:7" x14ac:dyDescent="0.25">
      <c r="A6" s="6" t="s">
        <v>77</v>
      </c>
      <c r="C6" s="6" t="s">
        <v>76</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CF46098-4CDD-4B68-932E-976A48FF428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14</vt:i4>
      </vt:variant>
    </vt:vector>
  </HeadingPairs>
  <TitlesOfParts>
    <vt:vector size="34"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2026-09-04T17:22:44Z</dcterms:created>
  <dcterms:modified xsi:type="dcterms:W3CDTF">2026-09-04T17:27:05Z</dcterms:modified>
</cp:coreProperties>
</file>
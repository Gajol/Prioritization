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oug\Projects\Prioritization\management\consolidation\"/>
    </mc:Choice>
  </mc:AlternateContent>
  <xr:revisionPtr revIDLastSave="0" documentId="13_ncr:1_{3189A53D-C981-4994-A1CE-ABCE29DE8563}" xr6:coauthVersionLast="47" xr6:coauthVersionMax="47" xr10:uidLastSave="{00000000-0000-0000-0000-000000000000}"/>
  <bookViews>
    <workbookView xWindow="735" yWindow="735" windowWidth="27510" windowHeight="13965" xr2:uid="{00000000-000D-0000-FFFF-FFFF00000000}"/>
  </bookViews>
  <sheets>
    <sheet name="Refresh Status" sheetId="15" r:id="rId1"/>
    <sheet name="Instructions" sheetId="1" r:id="rId2"/>
    <sheet name="Consolidated Priorities" sheetId="11" r:id="rId3"/>
    <sheet name="Sum of FTEs by Centre-Team" sheetId="12" r:id="rId4"/>
    <sheet name="Sum of FTEs by Priority" sheetId="13" r:id="rId5"/>
    <sheet name="Priorities_All (data)" sheetId="6" r:id="rId6"/>
    <sheet name="Teams_All (data)" sheetId="5" r:id="rId7"/>
    <sheet name="ResourceAllocation_All (data)" sheetId="7" r:id="rId8"/>
    <sheet name="Centres" sheetId="2" r:id="rId9"/>
    <sheet name="Priority" sheetId="3" r:id="rId10"/>
    <sheet name="Resources" sheetId="4" r:id="rId11"/>
  </sheets>
  <definedNames>
    <definedName name="_xlcn.WorksheetConnection_consolidation.xlsxCentres" hidden="1">Centres[]</definedName>
    <definedName name="_xlcn.WorksheetConnection_consolidation.xlsxPriorities_All" hidden="1">Priorities_All[]</definedName>
    <definedName name="_xlcn.WorksheetConnection_consolidation.xlsxPriority" hidden="1">Priority[]</definedName>
    <definedName name="_xlcn.WorksheetConnection_consolidation.xlsxResourceAllocation_All" hidden="1">ResourceAllocation_All[]</definedName>
    <definedName name="_xlcn.WorksheetConnection_consolidation.xlsxResources" hidden="1">Resources[]</definedName>
    <definedName name="_xlcn.WorksheetConnection_consolidation.xlsxTeams_All" hidden="1">Teams_All[]</definedName>
    <definedName name="ExternalData_1" localSheetId="5" hidden="1">'Priorities_All (data)'!$A$1:$K$6</definedName>
    <definedName name="ExternalData_1" localSheetId="0" hidden="1">'Refresh Status'!$A$4:$D$7</definedName>
    <definedName name="ExternalData_1" localSheetId="7" hidden="1">'ResourceAllocation_All (data)'!$A$1:$H$6</definedName>
    <definedName name="ExternalData_1" localSheetId="6" hidden="1">'Teams_All (data)'!$A$1:$I$5</definedName>
    <definedName name="ResourceNameList">'Resources'!$D$2:$D$101</definedName>
  </definedNames>
  <calcPr calcId="191029"/>
  <pivotCaches>
    <pivotCache cacheId="50" r:id="rId12"/>
    <pivotCache cacheId="53" r:id="rId13"/>
    <pivotCache cacheId="56" r:id="rId14"/>
  </pivotCaches>
  <extLst>
    <ext xmlns:x15="http://schemas.microsoft.com/office/spreadsheetml/2010/11/main" uri="{FCE2AD5D-F65C-4FA6-A056-5C36A1767C68}">
      <x15:dataModel>
        <x15:modelTables>
          <x15:modelTable id="Teams_All" name="Teams_All" connection="WorksheetConnection_consolidation.xlsx!Teams_All"/>
          <x15:modelTable id="Resources" name="Resources" connection="WorksheetConnection_consolidation.xlsx!Resources"/>
          <x15:modelTable id="ResourceAllocation_All" name="ResourceAllocation_All" connection="WorksheetConnection_consolidation.xlsx!ResourceAllocation_All"/>
          <x15:modelTable id="Priority" name="Priority" connection="WorksheetConnection_consolidation.xlsx!Priority"/>
          <x15:modelTable id="Priorities_All" name="Priorities_All" connection="WorksheetConnection_consolidation.xlsx!Priorities_All"/>
          <x15:modelTable id="Centres" name="Centres" connection="WorksheetConnection_consolidation.xlsx!Centres"/>
        </x15:modelTables>
        <x15:modelRelationships>
          <x15:modelRelationship fromTable="Teams_All" fromColumn="CentreCode" toTable="Centres" toColumn="CentreCode"/>
          <x15:modelRelationship fromTable="Priorities_All" fromColumn="TeamKey" toTable="Teams_All" toColumn="TeamKey"/>
          <x15:modelRelationship fromTable="Priorities_All" fromColumn="Priority Title" toTable="Priority" toColumn="Title"/>
          <x15:modelRelationship fromTable="ResourceAllocation_All" fromColumn="TeamKey" toTable="Teams_All" toColumn="TeamKey"/>
          <x15:modelRelationship fromTable="ResourceAllocation_All" fromColumn="Resource" toTable="Resources" toColumn="Full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5" l="1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0E144D-7A0D-4766-87DE-EF55006B43F9}" keepAlive="1" name="Connection" type="5" refreshedVersion="8" saveData="1">
    <dbPr connection="Provider=Microsoft.Mashup.OleDb.1;Data Source=$Workbook$;Location=Teams_All;Extended Properties=&quot;&quot;" command="SELECT * FROM [Teams_All]"/>
  </connection>
  <connection id="2" xr16:uid="{DF462D8B-D5F1-4FAD-8FD1-4E32AABD96A9}" keepAlive="1" name="Connection1" type="5" refreshedVersion="8" saveData="1">
    <dbPr connection="Provider=Microsoft.Mashup.OleDb.1;Data Source=$Workbook$;Location=Priorities_All;Extended Properties=&quot;&quot;" command="SELECT * FROM [Priorities_All]"/>
  </connection>
  <connection id="3" xr16:uid="{26593761-0FEB-4D4B-BFF5-77D2B634AB78}" keepAlive="1" name="Connection2" type="5" refreshedVersion="8" saveData="1">
    <dbPr connection="Provider=Microsoft.Mashup.OleDb.1;Data Source=$Workbook$;Location=ResourceAllocation_All;Extended Properties=&quot;&quot;" command="SELECT * FROM [ResourceAllocation_All]"/>
  </connection>
  <connection id="4" xr16:uid="{365601AF-61A2-42EC-B90C-DB47BBFA4591}" keepAlive="1" name="Connection3" type="5" refreshedVersion="8" saveData="1">
    <dbPr connection="Provider=Microsoft.Mashup.OleDb.1;Data Source=$Workbook$;Location=RefreshStatus;Extended Properties=&quot;&quot;" command="SELECT * FROM [RefreshStatus]"/>
  </connection>
  <connection id="5" xr16:uid="{8817863B-9741-4F69-A4B0-AF71F88AFB35}" keepAlive="1" name="Connection4" type="5" refreshedVersion="8" saveData="1">
    <dbPr connection="Provider=Microsoft.Mashup.OleDb.1;Data Source=$Workbook$;Location=RefreshStatus;Extended Properties=&quot;&quot;" command="SELECT * FROM [RefreshStatus]"/>
  </connection>
  <connection id="6" xr16:uid="{944398DD-3E2F-453B-9B0A-B0EC6042A53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5A88A84A-0AE1-4536-9F8B-10F506F2A4AD}" name="WorksheetConnection_consolidation.xlsx!Centres" type="102" refreshedVersion="8" minRefreshableVersion="5">
    <extLst>
      <ext xmlns:x15="http://schemas.microsoft.com/office/spreadsheetml/2010/11/main" uri="{DE250136-89BD-433C-8126-D09CA5730AF9}">
        <x15:connection id="Centres">
          <x15:rangePr sourceName="_xlcn.WorksheetConnection_consolidation.xlsxCentres"/>
        </x15:connection>
      </ext>
    </extLst>
  </connection>
  <connection id="8" xr16:uid="{88A9F9E2-EF52-4E79-AEBD-E3A4283D82A3}" name="WorksheetConnection_consolidation.xlsx!Priorities_All" type="102" refreshedVersion="8" minRefreshableVersion="5">
    <extLst>
      <ext xmlns:x15="http://schemas.microsoft.com/office/spreadsheetml/2010/11/main" uri="{DE250136-89BD-433C-8126-D09CA5730AF9}">
        <x15:connection id="Priorities_All">
          <x15:rangePr sourceName="_xlcn.WorksheetConnection_consolidation.xlsxPriorities_All"/>
        </x15:connection>
      </ext>
    </extLst>
  </connection>
  <connection id="9" xr16:uid="{D77CE010-C68A-41C2-B8CA-29720DB2C3F1}" name="WorksheetConnection_consolidation.xlsx!Priority" type="102" refreshedVersion="8" minRefreshableVersion="5">
    <extLst>
      <ext xmlns:x15="http://schemas.microsoft.com/office/spreadsheetml/2010/11/main" uri="{DE250136-89BD-433C-8126-D09CA5730AF9}">
        <x15:connection id="Priority">
          <x15:rangePr sourceName="_xlcn.WorksheetConnection_consolidation.xlsxPriority"/>
        </x15:connection>
      </ext>
    </extLst>
  </connection>
  <connection id="10" xr16:uid="{8A67453B-DC5D-4D0B-A7D9-07C72C726106}" name="WorksheetConnection_consolidation.xlsx!ResourceAllocation_All" type="102" refreshedVersion="8" minRefreshableVersion="5">
    <extLst>
      <ext xmlns:x15="http://schemas.microsoft.com/office/spreadsheetml/2010/11/main" uri="{DE250136-89BD-433C-8126-D09CA5730AF9}">
        <x15:connection id="ResourceAllocation_All">
          <x15:rangePr sourceName="_xlcn.WorksheetConnection_consolidation.xlsxResourceAllocation_All"/>
        </x15:connection>
      </ext>
    </extLst>
  </connection>
  <connection id="11" xr16:uid="{30623AB8-45CB-4CBF-9ECD-F83FE26BB0D2}" name="WorksheetConnection_consolidation.xlsx!Resources" type="102" refreshedVersion="8" minRefreshableVersion="5">
    <extLst>
      <ext xmlns:x15="http://schemas.microsoft.com/office/spreadsheetml/2010/11/main" uri="{DE250136-89BD-433C-8126-D09CA5730AF9}">
        <x15:connection id="Resources">
          <x15:rangePr sourceName="_xlcn.WorksheetConnection_consolidation.xlsxResources"/>
        </x15:connection>
      </ext>
    </extLst>
  </connection>
  <connection id="12" xr16:uid="{E9A12651-877C-44AE-88A4-B9F55E02A355}" name="WorksheetConnection_consolidation.xlsx!Teams_All" type="102" refreshedVersion="8" minRefreshableVersion="5">
    <extLst>
      <ext xmlns:x15="http://schemas.microsoft.com/office/spreadsheetml/2010/11/main" uri="{DE250136-89BD-433C-8126-D09CA5730AF9}">
        <x15:connection id="Teams_All">
          <x15:rangePr sourceName="_xlcn.WorksheetConnection_consolidation.xlsxTeams_All"/>
        </x15:connection>
      </ext>
    </extLst>
  </connection>
</connections>
</file>

<file path=xl/sharedStrings.xml><?xml version="1.0" encoding="utf-8"?>
<sst xmlns="http://schemas.openxmlformats.org/spreadsheetml/2006/main" count="704" uniqueCount="212">
  <si>
    <t>Prioritization — Consolidation Workbook</t>
  </si>
  <si>
    <t>Purpose</t>
  </si>
  <si>
    <t>Combines the completed centre-template.xlsx files returned by all six Centre Leads into consolidated views: which priorities each centre is working, how they're ranked, and how much resourcing (FTE) each priority is actually getting.</t>
  </si>
  <si>
    <t>Setup</t>
  </si>
  <si>
    <t>1. Put all six returned centre files in one folder — the yellow cell below points at it. A local folder or a SharePoint-synced folder both work; a live SharePoint connection is deliberately not used here (see docs/excel-file-design.md for why).</t>
  </si>
  <si>
    <t>2. The three combined queries (Teams_All, Priorities_All, ResourceAllocation_All) and the Data Model relationships/measures are authored once — see docs/excel-file-design.md's 'Consolidation workbook' section for the exact recipe. This workbook ships with just the shell and the static reference tables below; the rest is a one-time Excel UI setup step.</t>
  </si>
  <si>
    <t>3. Every quarter: refresh the returned files into the source folder, then Data -&gt; Refresh All.</t>
  </si>
  <si>
    <t>Why Team Name alone isn't enough</t>
  </si>
  <si>
    <t>Centres can name teams however they like — two different centres may both have a team called the same thing. The combined tables carry a TeamKey column (Centre Code | Team Name) precisely to keep those separate; don't rely on Team Name alone when building anything new here.</t>
  </si>
  <si>
    <t>Source folder</t>
  </si>
  <si>
    <t>SourceFolder</t>
  </si>
  <si>
    <t>C:/Users/doug/Projects/Prioritization/management/scripts/dev_fixtures/output</t>
  </si>
  <si>
    <t>id</t>
  </si>
  <si>
    <t>Centre</t>
  </si>
  <si>
    <t>CentreCode</t>
  </si>
  <si>
    <t>Cyber Centre</t>
  </si>
  <si>
    <t>CYB</t>
  </si>
  <si>
    <t>Economic Centre</t>
  </si>
  <si>
    <t>ECO</t>
  </si>
  <si>
    <t>Infrastructure Centre</t>
  </si>
  <si>
    <t>INF</t>
  </si>
  <si>
    <t>Health Centre</t>
  </si>
  <si>
    <t>HLT</t>
  </si>
  <si>
    <t>Environmental Centre</t>
  </si>
  <si>
    <t>ENV</t>
  </si>
  <si>
    <t>Diplomatic Centre</t>
  </si>
  <si>
    <t>DIP</t>
  </si>
  <si>
    <t>Title</t>
  </si>
  <si>
    <t>Type</t>
  </si>
  <si>
    <t>Impact</t>
  </si>
  <si>
    <t>Resources</t>
  </si>
  <si>
    <t>Harden network perimeter defenses</t>
  </si>
  <si>
    <t>Tactical</t>
  </si>
  <si>
    <t>Risk</t>
  </si>
  <si>
    <t>No</t>
  </si>
  <si>
    <t>Close critical patching gap</t>
  </si>
  <si>
    <t>Reduce third-party vendor risk exposure</t>
  </si>
  <si>
    <t>Contain phishing incident recurrence</t>
  </si>
  <si>
    <t>Stabilize legacy authentication systems</t>
  </si>
  <si>
    <t>Mitigate single-vendor supply dependency</t>
  </si>
  <si>
    <t>Address currency exposure on cross-border contracts</t>
  </si>
  <si>
    <t>Reduce fraud loss in claims processing</t>
  </si>
  <si>
    <t>Shore up disaster-recovery failover gap</t>
  </si>
  <si>
    <t>Contain cost overruns on flagship program</t>
  </si>
  <si>
    <t>Close skills gap in incident response team</t>
  </si>
  <si>
    <t>Reduce backlog of unresolved audit findings</t>
  </si>
  <si>
    <t>Mitigate insider-threat detection blind spot</t>
  </si>
  <si>
    <t>Stabilize vendor payment processing errors</t>
  </si>
  <si>
    <t>Address data-retention compliance gap</t>
  </si>
  <si>
    <t>Reduce downtime on critical case-management platform</t>
  </si>
  <si>
    <t>Contain reputational risk from delayed public reporting</t>
  </si>
  <si>
    <t>Launch predictive analytics pilot</t>
  </si>
  <si>
    <t>Initiative</t>
  </si>
  <si>
    <t>Value</t>
  </si>
  <si>
    <t>Modernize case-management platform</t>
  </si>
  <si>
    <t>Stand up cross-centre data-sharing hub</t>
  </si>
  <si>
    <t>Build automated reporting dashboards</t>
  </si>
  <si>
    <t>Pilot AI-assisted triage for intake requests</t>
  </si>
  <si>
    <t>Develop centre-wide skills academy</t>
  </si>
  <si>
    <t>Launch digital self-service portal</t>
  </si>
  <si>
    <t>Establish innovation partnership with academia</t>
  </si>
  <si>
    <t>Build a unified risk-scoring model</t>
  </si>
  <si>
    <t>Modernize records-management architecture</t>
  </si>
  <si>
    <t>Pilot flexible/hybrid staffing model</t>
  </si>
  <si>
    <t>Develop a real-time performance dashboard</t>
  </si>
  <si>
    <t>Launch a data-quality improvement program</t>
  </si>
  <si>
    <t>Build a shared services centre for back-office functions</t>
  </si>
  <si>
    <t>Pilot a client-experience redesign</t>
  </si>
  <si>
    <t>Develop an early-warning indicators program</t>
  </si>
  <si>
    <t>Provide cross-centre threat-briefing support</t>
  </si>
  <si>
    <t>Assistance</t>
  </si>
  <si>
    <t>Second an analyst to a partner centre</t>
  </si>
  <si>
    <t>Share technical infrastructure capacity</t>
  </si>
  <si>
    <t>Provide legal review support to partner initiatives</t>
  </si>
  <si>
    <t>Coordinate joint training exercises</t>
  </si>
  <si>
    <t>Provide surge staffing during peak demand</t>
  </si>
  <si>
    <t>Share lessons learned from recent incidents</t>
  </si>
  <si>
    <t>Provide advisory support on procurement</t>
  </si>
  <si>
    <t>Coordinate a joint public-communications response</t>
  </si>
  <si>
    <t>Provide mentoring capacity to junior analysts</t>
  </si>
  <si>
    <t>Share data infrastructure with partner centre</t>
  </si>
  <si>
    <t>Provide translation/interpretation support</t>
  </si>
  <si>
    <t>Coordinate a joint tabletop exercise</t>
  </si>
  <si>
    <t>Provide technical assistance on system migration</t>
  </si>
  <si>
    <t>Support a partner centre's audit response</t>
  </si>
  <si>
    <t>Provide surge analytic capacity for a major event</t>
  </si>
  <si>
    <t>Modernize vendor risk-assessment process</t>
  </si>
  <si>
    <t>FirstName</t>
  </si>
  <si>
    <t>LastName</t>
  </si>
  <si>
    <t>PositionTitle</t>
  </si>
  <si>
    <t>FullName</t>
  </si>
  <si>
    <t>Kevin</t>
  </si>
  <si>
    <t>Johnson</t>
  </si>
  <si>
    <t>Operations Analyst</t>
  </si>
  <si>
    <t>John</t>
  </si>
  <si>
    <t>Brown</t>
  </si>
  <si>
    <t>Operations Manager</t>
  </si>
  <si>
    <t>Chen</t>
  </si>
  <si>
    <t>Senior Software Engineer</t>
  </si>
  <si>
    <t>Thomas</t>
  </si>
  <si>
    <t>Kowalski</t>
  </si>
  <si>
    <t>Emma</t>
  </si>
  <si>
    <t>Wei</t>
  </si>
  <si>
    <t>Technical Analyst</t>
  </si>
  <si>
    <t>James</t>
  </si>
  <si>
    <t>Haddad</t>
  </si>
  <si>
    <t>Software Engineer</t>
  </si>
  <si>
    <t>Fatima</t>
  </si>
  <si>
    <t>Dubois</t>
  </si>
  <si>
    <t>Grace</t>
  </si>
  <si>
    <t>Osei</t>
  </si>
  <si>
    <t>Kim</t>
  </si>
  <si>
    <t>Carlos</t>
  </si>
  <si>
    <t>Singh</t>
  </si>
  <si>
    <t>Senior Operations Analyst</t>
  </si>
  <si>
    <t>Ibrahim</t>
  </si>
  <si>
    <t>Lee</t>
  </si>
  <si>
    <t>Robert</t>
  </si>
  <si>
    <t>Senior Operations Manager</t>
  </si>
  <si>
    <t>Aisha</t>
  </si>
  <si>
    <t>Novak</t>
  </si>
  <si>
    <t>Maria</t>
  </si>
  <si>
    <t>Ivanov</t>
  </si>
  <si>
    <t>Sarah</t>
  </si>
  <si>
    <t>Fischer</t>
  </si>
  <si>
    <t>Yuki</t>
  </si>
  <si>
    <t>Martin</t>
  </si>
  <si>
    <t>Director of Technology</t>
  </si>
  <si>
    <t>Laura</t>
  </si>
  <si>
    <t>Tanaka</t>
  </si>
  <si>
    <t>Legal Counsel</t>
  </si>
  <si>
    <t>Omar</t>
  </si>
  <si>
    <t>Nguyen</t>
  </si>
  <si>
    <t>Murphy</t>
  </si>
  <si>
    <t>Anna</t>
  </si>
  <si>
    <t>Patel</t>
  </si>
  <si>
    <t>Leila</t>
  </si>
  <si>
    <t>Ahmed</t>
  </si>
  <si>
    <t>Cohen</t>
  </si>
  <si>
    <t>Priya</t>
  </si>
  <si>
    <t>Khan</t>
  </si>
  <si>
    <t>Nadia</t>
  </si>
  <si>
    <t>Marc</t>
  </si>
  <si>
    <t>Costa</t>
  </si>
  <si>
    <t>Technical Lead</t>
  </si>
  <si>
    <t>Petit</t>
  </si>
  <si>
    <t>Wilson</t>
  </si>
  <si>
    <t>Senior Legal Counsel</t>
  </si>
  <si>
    <t>Andersson</t>
  </si>
  <si>
    <t>Director of Operations</t>
  </si>
  <si>
    <t>Elena</t>
  </si>
  <si>
    <t>Garcia</t>
  </si>
  <si>
    <t>Rossi</t>
  </si>
  <si>
    <t>Michael</t>
  </si>
  <si>
    <t>Silva</t>
  </si>
  <si>
    <t>Daniel</t>
  </si>
  <si>
    <t>Sophie</t>
  </si>
  <si>
    <t>David</t>
  </si>
  <si>
    <t>Peter</t>
  </si>
  <si>
    <t>Yamamoto</t>
  </si>
  <si>
    <t>Larsen</t>
  </si>
  <si>
    <t>General Counsel</t>
  </si>
  <si>
    <t>Smith</t>
  </si>
  <si>
    <t>Team Name</t>
  </si>
  <si>
    <t>Resources Dedicated</t>
  </si>
  <si>
    <t>Priority Type</t>
  </si>
  <si>
    <t>Priority Allocation Total</t>
  </si>
  <si>
    <t>Resource Effort Total (FTE)</t>
  </si>
  <si>
    <t>CentreName</t>
  </si>
  <si>
    <t>TeamKey</t>
  </si>
  <si>
    <t>Firewall Team</t>
  </si>
  <si>
    <t>Yes</t>
  </si>
  <si>
    <t>CYB|Firewall Team</t>
  </si>
  <si>
    <t>Threat Intel</t>
  </si>
  <si>
    <t>CYB|Threat Intel</t>
  </si>
  <si>
    <t>Ops Team</t>
  </si>
  <si>
    <t>ECO|Ops Team</t>
  </si>
  <si>
    <t>INF|Ops Team</t>
  </si>
  <si>
    <t>Priority Title</t>
  </si>
  <si>
    <t>Type (auto)</t>
  </si>
  <si>
    <t>Rank</t>
  </si>
  <si>
    <t>Resourced</t>
  </si>
  <si>
    <t>Allocation % of Team Effort</t>
  </si>
  <si>
    <t>Resource</t>
  </si>
  <si>
    <t>Position Title (auto)</t>
  </si>
  <si>
    <t>Allocation % of Person Effort</t>
  </si>
  <si>
    <t>Person Total %</t>
  </si>
  <si>
    <t>Kevin Johnson</t>
  </si>
  <si>
    <t>Chen Johnson</t>
  </si>
  <si>
    <t>Emma Chen</t>
  </si>
  <si>
    <t>Row Labels</t>
  </si>
  <si>
    <t>Grand Total</t>
  </si>
  <si>
    <t>Column Labels</t>
  </si>
  <si>
    <t>__XL_Count Priorities_All</t>
  </si>
  <si>
    <t>Total FTE</t>
  </si>
  <si>
    <t>FTE Delivered to Priority</t>
  </si>
  <si>
    <t>Value/Risk (auto)</t>
  </si>
  <si>
    <t>Low</t>
  </si>
  <si>
    <t>Minimal</t>
  </si>
  <si>
    <t>Moderate</t>
  </si>
  <si>
    <t>Team Name Sorted</t>
  </si>
  <si>
    <t>Wei Brown</t>
  </si>
  <si>
    <t>Kevin Haddad</t>
  </si>
  <si>
    <t>Source files picked up by the last Data &gt; Refresh All</t>
  </si>
  <si>
    <t>One row per .xlsx found in the source folder. If a centre is missing here, it is missing from every PivotTable too.</t>
  </si>
  <si>
    <t>File</t>
  </si>
  <si>
    <t>File last saved</t>
  </si>
  <si>
    <t>Data as of</t>
  </si>
  <si>
    <t>Centre-CYB.xlsx</t>
  </si>
  <si>
    <t>Centre-ECO.xlsx</t>
  </si>
  <si>
    <t>Centre-INF.xlsx</t>
  </si>
  <si>
    <t>Team Total % 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</si>
</sst>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Protection="1"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Doug Nielsen" refreshedDate="46269.57025138889" createdVersion="5" refreshedVersion="8" minRefreshableVersion="3" recordCount="0" supportSubquery="1" supportAdvancedDrill="1" xr:uid="{A54ACE39-F267-407B-B6FB-02B9C1FC9673}">
  <cacheSource type="external" connectionId="6"/>
  <cacheFields count="2">
    <cacheField name="[Priority].[Title].[Title]" caption="Title" numFmtId="0" hierarchy="14" level="1">
      <sharedItems count="5">
        <s v="Close critical patching gap"/>
        <s v="Harden network perimeter defenses"/>
        <s v="Launch predictive analytics pilot"/>
        <s v="Provide cross-centre threat-briefing support"/>
        <s v="Reduce third-party vendor risk exposure"/>
      </sharedItems>
    </cacheField>
    <cacheField name="[Measures].[FTE Delivered to Priority]" caption="FTE Delivered to Priority" numFmtId="0" hierarchy="40" level="32767"/>
  </cacheFields>
  <cacheHierarchies count="49">
    <cacheHierarchy uniqueName="[Centres].[id]" caption="id" attribute="1" defaultMemberUniqueName="[Centres].[id].[All]" allUniqueName="[Centres].[id].[All]" dimensionUniqueName="[Centres]" displayFolder="" count="0" memberValueDatatype="20" unbalanced="0"/>
    <cacheHierarchy uniqueName="[Centres].[Centre]" caption="Centre" attribute="1" defaultMemberUniqueName="[Centres].[Centre].[All]" allUniqueName="[Centres].[Centre].[All]" dimensionUniqueName="[Centres]" displayFolder="" count="0" memberValueDatatype="130" unbalanced="0"/>
    <cacheHierarchy uniqueName="[Centres].[CentreCode]" caption="CentreCode" attribute="1" defaultMemberUniqueName="[Centres].[CentreCode].[All]" allUniqueName="[Centres].[CentreCode].[All]" dimensionUniqueName="[Centres]" displayFolder="" count="0" memberValueDatatype="130" unbalanced="0"/>
    <cacheHierarchy uniqueName="[Priorities_All].[Team Name]" caption="Team Name" attribute="1" defaultMemberUniqueName="[Priorities_All].[Team Name].[All]" allUniqueName="[Priorities_All].[Team Name].[All]" dimensionUniqueName="[Priorities_All]" displayFolder="" count="0" memberValueDatatype="130" unbalanced="0"/>
    <cacheHierarchy uniqueName="[Priorities_All].[Priority Title]" caption="Priority Title" attribute="1" defaultMemberUniqueName="[Priorities_All].[Priority Title].[All]" allUniqueName="[Priorities_All].[Priority Title].[All]" dimensionUniqueName="[Priorities_All]" displayFolder="" count="0" memberValueDatatype="130" unbalanced="0"/>
    <cacheHierarchy uniqueName="[Priorities_All].[Type (auto)]" caption="Type (auto)" attribute="1" defaultMemberUniqueName="[Priorities_All].[Type (auto)].[All]" allUniqueName="[Priorities_All].[Type (auto)].[All]" dimensionUniqueName="[Priorities_All]" displayFolder="" count="0" memberValueDatatype="130" unbalanced="0"/>
    <cacheHierarchy uniqueName="[Priorities_All].[Rank]" caption="Rank" attribute="1" defaultMemberUniqueName="[Priorities_All].[Rank].[All]" allUniqueName="[Priorities_All].[Rank].[All]" dimensionUniqueName="[Priorities_All]" displayFolder="" count="0" memberValueDatatype="20" unbalanced="0"/>
    <cacheHierarchy uniqueName="[Priorities_All].[Resourced]" caption="Resourced" attribute="1" defaultMemberUniqueName="[Priorities_All].[Resourced].[All]" allUniqueName="[Priorities_All].[Resourced].[All]" dimensionUniqueName="[Priorities_All]" displayFolder="" count="0" memberValueDatatype="130" unbalanced="0"/>
    <cacheHierarchy uniqueName="[Priorities_All].[Allocation % of Team Effort]" caption="Allocation % of Team Effort" attribute="1" defaultMemberUniqueName="[Priorities_All].[Allocation % of Team Effort].[All]" allUniqueName="[Priorities_All].[Allocation % of Team Effort].[All]" dimensionUniqueName="[Priorities_All]" displayFolder="" count="0" memberValueDatatype="5" unbalanced="0"/>
    <cacheHierarchy uniqueName="[Priorities_All].[Value/Risk (auto)]" caption="Value/Risk (auto)" attribute="1" defaultMemberUniqueName="[Priorities_All].[Value/Risk (auto)].[All]" allUniqueName="[Priorities_All].[Value/Risk (auto)].[All]" dimensionUniqueName="[Priorities_All]" displayFolder="" count="0" memberValueDatatype="130" unbalanced="0"/>
    <cacheHierarchy uniqueName="[Priorities_All].[Team Total % (auto)]" caption="Team Total % (auto)" attribute="1" defaultMemberUniqueName="[Priorities_All].[Team Total % (auto)].[All]" allUniqueName="[Priorities_All].[Team Total % (auto)].[All]" dimensionUniqueName="[Priorities_All]" displayFolder="" count="0" memberValueDatatype="20" unbalanced="0"/>
    <cacheHierarchy uniqueName="[Priorities_All].[CentreCode]" caption="CentreCode" attribute="1" defaultMemberUniqueName="[Priorities_All].[CentreCode].[All]" allUniqueName="[Priorities_All].[CentreCode].[All]" dimensionUniqueName="[Priorities_All]" displayFolder="" count="0" memberValueDatatype="130" unbalanced="0"/>
    <cacheHierarchy uniqueName="[Priorities_All].[CentreName]" caption="CentreName" attribute="1" defaultMemberUniqueName="[Priorities_All].[CentreName].[All]" allUniqueName="[Priorities_All].[CentreName].[All]" dimensionUniqueName="[Priorities_All]" displayFolder="" count="0" memberValueDatatype="130" unbalanced="0"/>
    <cacheHierarchy uniqueName="[Priorities_All].[TeamKey]" caption="TeamKey" attribute="1" defaultMemberUniqueName="[Priorities_All].[TeamKey].[All]" allUniqueName="[Priorities_All].[TeamKey].[All]" dimensionUniqueName="[Priorities_All]" displayFolder="" count="0" memberValueDatatype="130" unbalanced="0"/>
    <cacheHierarchy uniqueName="[Priority].[Title]" caption="Title" attribute="1" defaultMemberUniqueName="[Priority].[Title].[All]" allUniqueName="[Priority].[Title].[All]" dimensionUniqueName="[Priority]" displayFolder="" count="2" memberValueDatatype="130" unbalanced="0">
      <fieldsUsage count="2">
        <fieldUsage x="-1"/>
        <fieldUsage x="0"/>
      </fieldsUsage>
    </cacheHierarchy>
    <cacheHierarchy uniqueName="[Priority].[Type]" caption="Type" attribute="1" defaultMemberUniqueName="[Priority].[Type].[All]" allUniqueName="[Priority].[Type].[All]" dimensionUniqueName="[Priority]" displayFolder="" count="0" memberValueDatatype="130" unbalanced="0"/>
    <cacheHierarchy uniqueName="[Priority].[Impact]" caption="Impact" attribute="1" defaultMemberUniqueName="[Priority].[Impact].[All]" allUniqueName="[Priority].[Impact].[All]" dimensionUniqueName="[Priority]" displayFolder="" count="0" memberValueDatatype="130" unbalanced="0"/>
    <cacheHierarchy uniqueName="[Priority].[Resources]" caption="Resources" attribute="1" defaultMemberUniqueName="[Priority].[Resources].[All]" allUniqueName="[Priority].[Resources].[All]" dimensionUniqueName="[Priority]" displayFolder="" count="0" memberValueDatatype="130" unbalanced="0"/>
    <cacheHierarchy uniqueName="[ResourceAllocation_All].[Resource]" caption="Resource" attribute="1" defaultMemberUniqueName="[ResourceAllocation_All].[Resource].[All]" allUniqueName="[ResourceAllocation_All].[Resource].[All]" dimensionUniqueName="[ResourceAllocation_All]" displayFolder="" count="0" memberValueDatatype="130" unbalanced="0"/>
    <cacheHierarchy uniqueName="[ResourceAllocation_All].[Position Title (auto)]" caption="Position Title (auto)" attribute="1" defaultMemberUniqueName="[ResourceAllocation_All].[Position Title (auto)].[All]" allUniqueName="[ResourceAllocation_All].[Position Title (auto)].[All]" dimensionUniqueName="[ResourceAllocation_All]" displayFolder="" count="0" memberValueDatatype="130" unbalanced="0"/>
    <cacheHierarchy uniqueName="[ResourceAllocation_All].[Team Name]" caption="Team Name" attribute="1" defaultMemberUniqueName="[ResourceAllocation_All].[Team Name].[All]" allUniqueName="[ResourceAllocation_All].[Team Name].[All]" dimensionUniqueName="[ResourceAllocation_All]" displayFolder="" count="0" memberValueDatatype="130" unbalanced="0"/>
    <cacheHierarchy uniqueName="[ResourceAllocation_All].[Allocation % of Person Effort]" caption="Allocation % of Person Effort" attribute="1" defaultMemberUniqueName="[ResourceAllocation_All].[Allocation % of Person Effort].[All]" allUniqueName="[ResourceAllocation_All].[Allocation % of Person Effort].[All]" dimensionUniqueName="[ResourceAllocation_All]" displayFolder="" count="0" memberValueDatatype="5" unbalanced="0"/>
    <cacheHierarchy uniqueName="[ResourceAllocation_All].[Person Total %]" caption="Person Total %" attribute="1" defaultMemberUniqueName="[ResourceAllocation_All].[Person Total %].[All]" allUniqueName="[ResourceAllocation_All].[Person Total %].[All]" dimensionUniqueName="[ResourceAllocation_All]" displayFolder="" count="0" memberValueDatatype="5" unbalanced="0"/>
    <cacheHierarchy uniqueName="[ResourceAllocation_All].[CentreCode]" caption="CentreCode" attribute="1" defaultMemberUniqueName="[ResourceAllocation_All].[CentreCode].[All]" allUniqueName="[ResourceAllocation_All].[CentreCode].[All]" dimensionUniqueName="[ResourceAllocation_All]" displayFolder="" count="0" memberValueDatatype="130" unbalanced="0"/>
    <cacheHierarchy uniqueName="[ResourceAllocation_All].[CentreName]" caption="CentreName" attribute="1" defaultMemberUniqueName="[ResourceAllocation_All].[CentreName].[All]" allUniqueName="[ResourceAllocation_All].[CentreName].[All]" dimensionUniqueName="[ResourceAllocation_All]" displayFolder="" count="0" memberValueDatatype="130" unbalanced="0"/>
    <cacheHierarchy uniqueName="[ResourceAllocation_All].[TeamKey]" caption="TeamKey" attribute="1" defaultMemberUniqueName="[ResourceAllocation_All].[TeamKey].[All]" allUniqueName="[ResourceAllocation_All].[TeamKey].[All]" dimensionUniqueName="[ResourceAllocation_All]" displayFolder="" count="0" memberValueDatatype="130" unbalanced="0"/>
    <cacheHierarchy uniqueName="[Resources].[FirstName]" caption="FirstName" attribute="1" defaultMemberUniqueName="[Resources].[FirstName].[All]" allUniqueName="[Resources].[FirstName].[All]" dimensionUniqueName="[Resources]" displayFolder="" count="0" memberValueDatatype="130" unbalanced="0"/>
    <cacheHierarchy uniqueName="[Resources].[LastName]" caption="LastName" attribute="1" defaultMemberUniqueName="[Resources].[LastName].[All]" allUniqueName="[Resources].[LastName].[All]" dimensionUniqueName="[Resources]" displayFolder="" count="0" memberValueDatatype="130" unbalanced="0"/>
    <cacheHierarchy uniqueName="[Resources].[PositionTitle]" caption="PositionTitle" attribute="1" defaultMemberUniqueName="[Resources].[PositionTitle].[All]" allUniqueName="[Resources].[PositionTitle].[All]" dimensionUniqueName="[Resources]" displayFolder="" count="0" memberValueDatatype="130" unbalanced="0"/>
    <cacheHierarchy uniqueName="[Resources].[FullName]" caption="FullName" attribute="1" defaultMemberUniqueName="[Resources].[FullName].[All]" allUniqueName="[Resources].[FullName].[All]" dimensionUniqueName="[Resources]" displayFolder="" count="0" memberValueDatatype="130" unbalanced="0"/>
    <cacheHierarchy uniqueName="[Teams_All].[Team Name]" caption="Team Name" attribute="1" defaultMemberUniqueName="[Teams_All].[Team Name].[All]" allUniqueName="[Teams_All].[Team Name].[All]" dimensionUniqueName="[Teams_All]" displayFolder="" count="0" memberValueDatatype="130" unbalanced="0"/>
    <cacheHierarchy uniqueName="[Teams_All].[Resources Dedicated]" caption="Resources Dedicated" attribute="1" defaultMemberUniqueName="[Teams_All].[Resources Dedicated].[All]" allUniqueName="[Teams_All].[Resources Dedicated].[All]" dimensionUniqueName="[Teams_All]" displayFolder="" count="0" memberValueDatatype="130" unbalanced="0"/>
    <cacheHierarchy uniqueName="[Teams_All].[Priority Type]" caption="Priority Type" attribute="1" defaultMemberUniqueName="[Teams_All].[Priority Type].[All]" allUniqueName="[Teams_All].[Priority Type].[All]" dimensionUniqueName="[Teams_All]" displayFolder="" count="0" memberValueDatatype="130" unbalanced="0"/>
    <cacheHierarchy uniqueName="[Teams_All].[Priority Allocation Total]" caption="Priority Allocation Total" attribute="1" defaultMemberUniqueName="[Teams_All].[Priority Allocation Total].[All]" allUniqueName="[Teams_All].[Priority Allocation Total].[All]" dimensionUniqueName="[Teams_All]" displayFolder="" count="0" memberValueDatatype="20" unbalanced="0"/>
    <cacheHierarchy uniqueName="[Teams_All].[Resource Effort Total (FTE)]" caption="Resource Effort Total (FTE)" attribute="1" defaultMemberUniqueName="[Teams_All].[Resource Effort Total (FTE)].[All]" allUniqueName="[Teams_All].[Resource Effort Total (FTE)].[All]" dimensionUniqueName="[Teams_All]" displayFolder="" count="0" memberValueDatatype="5" unbalanced="0"/>
    <cacheHierarchy uniqueName="[Teams_All].[Team Name Sorted]" caption="Team Name Sorted" attribute="1" defaultMemberUniqueName="[Teams_All].[Team Name Sorted].[All]" allUniqueName="[Teams_All].[Team Name Sorted].[All]" dimensionUniqueName="[Teams_All]" displayFolder="" count="0" memberValueDatatype="130" unbalanced="0"/>
    <cacheHierarchy uniqueName="[Teams_All].[CentreCode]" caption="CentreCode" attribute="1" defaultMemberUniqueName="[Teams_All].[CentreCode].[All]" allUniqueName="[Teams_All].[CentreCode].[All]" dimensionUniqueName="[Teams_All]" displayFolder="" count="0" memberValueDatatype="130" unbalanced="0"/>
    <cacheHierarchy uniqueName="[Teams_All].[CentreName]" caption="CentreName" attribute="1" defaultMemberUniqueName="[Teams_All].[CentreName].[All]" allUniqueName="[Teams_All].[CentreName].[All]" dimensionUniqueName="[Teams_All]" displayFolder="" count="0" memberValueDatatype="130" unbalanced="0"/>
    <cacheHierarchy uniqueName="[Teams_All].[TeamKey]" caption="TeamKey" attribute="1" defaultMemberUniqueName="[Teams_All].[TeamKey].[All]" allUniqueName="[Teams_All].[TeamKey].[All]" dimensionUniqueName="[Teams_All]" displayFolder="" count="0" memberValueDatatype="130" unbalanced="0"/>
    <cacheHierarchy uniqueName="[Measures].[Total FTE]" caption="Total FTE" measure="1" displayFolder="" measureGroup="ResourceAllocation_All" count="0"/>
    <cacheHierarchy uniqueName="[Measures].[FTE Delivered to Priority]" caption="FTE Delivered to Priority" measure="1" displayFolder="" measureGroup="Priorities_All" count="0" oneField="1">
      <fieldsUsage count="1">
        <fieldUsage x="1"/>
      </fieldsUsage>
    </cacheHierarchy>
    <cacheHierarchy uniqueName="[Measures].[Priority Rank (Min)]" caption="Priority Rank (Min)" measure="1" displayFolder="" measureGroup="Priorities_All" count="0"/>
    <cacheHierarchy uniqueName="[Measures].[__XL_Count Teams_All]" caption="__XL_Count Teams_All" measure="1" displayFolder="" measureGroup="Teams_All" count="0" hidden="1"/>
    <cacheHierarchy uniqueName="[Measures].[__XL_Count Priorities_All]" caption="__XL_Count Priorities_All" measure="1" displayFolder="" measureGroup="Priorities_All" count="0" hidden="1"/>
    <cacheHierarchy uniqueName="[Measures].[__XL_Count ResourceAllocation_All]" caption="__XL_Count ResourceAllocation_All" measure="1" displayFolder="" measureGroup="ResourceAllocation_All" count="0" hidden="1"/>
    <cacheHierarchy uniqueName="[Measures].[__XL_Count Centres]" caption="__XL_Count Centres" measure="1" displayFolder="" measureGroup="Centres" count="0" hidden="1"/>
    <cacheHierarchy uniqueName="[Measures].[__XL_Count Priority]" caption="__XL_Count Priority" measure="1" displayFolder="" measureGroup="Priority" count="0" hidden="1"/>
    <cacheHierarchy uniqueName="[Measures].[__XL_Count Resources]" caption="__XL_Count Resources" measure="1" displayFolder="" measureGroup="Resources" count="0" hidden="1"/>
    <cacheHierarchy uniqueName="[Measures].[__No measures defined]" caption="__No measures defined" measure="1" displayFolder="" count="0" hidden="1"/>
  </cacheHierarchies>
  <kpis count="0"/>
  <dimensions count="7">
    <dimension name="Centres" uniqueName="[Centres]" caption="Centres"/>
    <dimension measure="1" name="Measures" uniqueName="[Measures]" caption="Measures"/>
    <dimension name="Priorities_All" uniqueName="[Priorities_All]" caption="Priorities_All"/>
    <dimension name="Priority" uniqueName="[Priority]" caption="Priority"/>
    <dimension name="ResourceAllocation_All" uniqueName="[ResourceAllocation_All]" caption="ResourceAllocation_All"/>
    <dimension name="Resources" uniqueName="[Resources]" caption="Resources"/>
    <dimension name="Teams_All" uniqueName="[Teams_All]" caption="Teams_All"/>
  </dimensions>
  <measureGroups count="6">
    <measureGroup name="Centres" caption="Centres"/>
    <measureGroup name="Priorities_All" caption="Priorities_All"/>
    <measureGroup name="Priority" caption="Priority"/>
    <measureGroup name="ResourceAllocation_All" caption="ResourceAllocation_All"/>
    <measureGroup name="Resources" caption="Resources"/>
    <measureGroup name="Teams_All" caption="Teams_All"/>
  </measureGroups>
  <maps count="13">
    <map measureGroup="0" dimension="0"/>
    <map measureGroup="1" dimension="0"/>
    <map measureGroup="1" dimension="2"/>
    <map measureGroup="1" dimension="3"/>
    <map measureGroup="1" dimension="6"/>
    <map measureGroup="2" dimension="3"/>
    <map measureGroup="3" dimension="0"/>
    <map measureGroup="3" dimension="4"/>
    <map measureGroup="3" dimension="5"/>
    <map measureGroup="3" dimension="6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Doug Nielsen" refreshedDate="46269.570252430553" createdVersion="5" refreshedVersion="8" minRefreshableVersion="3" recordCount="0" supportSubquery="1" supportAdvancedDrill="1" xr:uid="{2D9437A7-60C1-4851-BA82-2E8FFDB0D0E7}">
  <cacheSource type="external" connectionId="6"/>
  <cacheFields count="3">
    <cacheField name="[Centres].[Centre].[Centre]" caption="Centre" numFmtId="0" hierarchy="1" level="1">
      <sharedItems count="3">
        <s v="Cyber Centre"/>
        <s v="Economic Centre"/>
        <s v="Infrastructure Centre"/>
      </sharedItems>
    </cacheField>
    <cacheField name="[Teams_All].[Team Name].[Team Name]" caption="Team Name" numFmtId="0" hierarchy="30" level="1">
      <sharedItems count="3">
        <s v="Firewall Team"/>
        <s v="Threat Intel"/>
        <s v="Ops Team"/>
      </sharedItems>
    </cacheField>
    <cacheField name="[Measures].[Total FTE]" caption="Total FTE" numFmtId="0" hierarchy="39" level="32767"/>
  </cacheFields>
  <cacheHierarchies count="49">
    <cacheHierarchy uniqueName="[Centres].[id]" caption="id" attribute="1" defaultMemberUniqueName="[Centres].[id].[All]" allUniqueName="[Centres].[id].[All]" dimensionUniqueName="[Centres]" displayFolder="" count="0" memberValueDatatype="20" unbalanced="0"/>
    <cacheHierarchy uniqueName="[Centres].[Centre]" caption="Centre" attribute="1" defaultMemberUniqueName="[Centres].[Centre].[All]" allUniqueName="[Centres].[Centre].[All]" dimensionUniqueName="[Centres]" displayFolder="" count="2" memberValueDatatype="130" unbalanced="0">
      <fieldsUsage count="2">
        <fieldUsage x="-1"/>
        <fieldUsage x="0"/>
      </fieldsUsage>
    </cacheHierarchy>
    <cacheHierarchy uniqueName="[Centres].[CentreCode]" caption="CentreCode" attribute="1" defaultMemberUniqueName="[Centres].[CentreCode].[All]" allUniqueName="[Centres].[CentreCode].[All]" dimensionUniqueName="[Centres]" displayFolder="" count="0" memberValueDatatype="130" unbalanced="0"/>
    <cacheHierarchy uniqueName="[Priorities_All].[Team Name]" caption="Team Name" attribute="1" defaultMemberUniqueName="[Priorities_All].[Team Name].[All]" allUniqueName="[Priorities_All].[Team Name].[All]" dimensionUniqueName="[Priorities_All]" displayFolder="" count="0" memberValueDatatype="130" unbalanced="0"/>
    <cacheHierarchy uniqueName="[Priorities_All].[Priority Title]" caption="Priority Title" attribute="1" defaultMemberUniqueName="[Priorities_All].[Priority Title].[All]" allUniqueName="[Priorities_All].[Priority Title].[All]" dimensionUniqueName="[Priorities_All]" displayFolder="" count="0" memberValueDatatype="130" unbalanced="0"/>
    <cacheHierarchy uniqueName="[Priorities_All].[Type (auto)]" caption="Type (auto)" attribute="1" defaultMemberUniqueName="[Priorities_All].[Type (auto)].[All]" allUniqueName="[Priorities_All].[Type (auto)].[All]" dimensionUniqueName="[Priorities_All]" displayFolder="" count="0" memberValueDatatype="130" unbalanced="0"/>
    <cacheHierarchy uniqueName="[Priorities_All].[Rank]" caption="Rank" attribute="1" defaultMemberUniqueName="[Priorities_All].[Rank].[All]" allUniqueName="[Priorities_All].[Rank].[All]" dimensionUniqueName="[Priorities_All]" displayFolder="" count="0" memberValueDatatype="20" unbalanced="0"/>
    <cacheHierarchy uniqueName="[Priorities_All].[Resourced]" caption="Resourced" attribute="1" defaultMemberUniqueName="[Priorities_All].[Resourced].[All]" allUniqueName="[Priorities_All].[Resourced].[All]" dimensionUniqueName="[Priorities_All]" displayFolder="" count="0" memberValueDatatype="130" unbalanced="0"/>
    <cacheHierarchy uniqueName="[Priorities_All].[Allocation % of Team Effort]" caption="Allocation % of Team Effort" attribute="1" defaultMemberUniqueName="[Priorities_All].[Allocation % of Team Effort].[All]" allUniqueName="[Priorities_All].[Allocation % of Team Effort].[All]" dimensionUniqueName="[Priorities_All]" displayFolder="" count="0" memberValueDatatype="5" unbalanced="0"/>
    <cacheHierarchy uniqueName="[Priorities_All].[Value/Risk (auto)]" caption="Value/Risk (auto)" attribute="1" defaultMemberUniqueName="[Priorities_All].[Value/Risk (auto)].[All]" allUniqueName="[Priorities_All].[Value/Risk (auto)].[All]" dimensionUniqueName="[Priorities_All]" displayFolder="" count="0" memberValueDatatype="130" unbalanced="0"/>
    <cacheHierarchy uniqueName="[Priorities_All].[Team Total % (auto)]" caption="Team Total % (auto)" attribute="1" defaultMemberUniqueName="[Priorities_All].[Team Total % (auto)].[All]" allUniqueName="[Priorities_All].[Team Total % (auto)].[All]" dimensionUniqueName="[Priorities_All]" displayFolder="" count="0" memberValueDatatype="20" unbalanced="0"/>
    <cacheHierarchy uniqueName="[Priorities_All].[CentreCode]" caption="CentreCode" attribute="1" defaultMemberUniqueName="[Priorities_All].[CentreCode].[All]" allUniqueName="[Priorities_All].[CentreCode].[All]" dimensionUniqueName="[Priorities_All]" displayFolder="" count="0" memberValueDatatype="130" unbalanced="0"/>
    <cacheHierarchy uniqueName="[Priorities_All].[CentreName]" caption="CentreName" attribute="1" defaultMemberUniqueName="[Priorities_All].[CentreName].[All]" allUniqueName="[Priorities_All].[CentreName].[All]" dimensionUniqueName="[Priorities_All]" displayFolder="" count="0" memberValueDatatype="130" unbalanced="0"/>
    <cacheHierarchy uniqueName="[Priorities_All].[TeamKey]" caption="TeamKey" attribute="1" defaultMemberUniqueName="[Priorities_All].[TeamKey].[All]" allUniqueName="[Priorities_All].[TeamKey].[All]" dimensionUniqueName="[Priorities_All]" displayFolder="" count="0" memberValueDatatype="130" unbalanced="0"/>
    <cacheHierarchy uniqueName="[Priority].[Title]" caption="Title" attribute="1" defaultMemberUniqueName="[Priority].[Title].[All]" allUniqueName="[Priority].[Title].[All]" dimensionUniqueName="[Priority]" displayFolder="" count="0" memberValueDatatype="130" unbalanced="0"/>
    <cacheHierarchy uniqueName="[Priority].[Type]" caption="Type" attribute="1" defaultMemberUniqueName="[Priority].[Type].[All]" allUniqueName="[Priority].[Type].[All]" dimensionUniqueName="[Priority]" displayFolder="" count="0" memberValueDatatype="130" unbalanced="0"/>
    <cacheHierarchy uniqueName="[Priority].[Impact]" caption="Impact" attribute="1" defaultMemberUniqueName="[Priority].[Impact].[All]" allUniqueName="[Priority].[Impact].[All]" dimensionUniqueName="[Priority]" displayFolder="" count="0" memberValueDatatype="130" unbalanced="0"/>
    <cacheHierarchy uniqueName="[Priority].[Resources]" caption="Resources" attribute="1" defaultMemberUniqueName="[Priority].[Resources].[All]" allUniqueName="[Priority].[Resources].[All]" dimensionUniqueName="[Priority]" displayFolder="" count="0" memberValueDatatype="130" unbalanced="0"/>
    <cacheHierarchy uniqueName="[ResourceAllocation_All].[Resource]" caption="Resource" attribute="1" defaultMemberUniqueName="[ResourceAllocation_All].[Resource].[All]" allUniqueName="[ResourceAllocation_All].[Resource].[All]" dimensionUniqueName="[ResourceAllocation_All]" displayFolder="" count="0" memberValueDatatype="130" unbalanced="0"/>
    <cacheHierarchy uniqueName="[ResourceAllocation_All].[Position Title (auto)]" caption="Position Title (auto)" attribute="1" defaultMemberUniqueName="[ResourceAllocation_All].[Position Title (auto)].[All]" allUniqueName="[ResourceAllocation_All].[Position Title (auto)].[All]" dimensionUniqueName="[ResourceAllocation_All]" displayFolder="" count="0" memberValueDatatype="130" unbalanced="0"/>
    <cacheHierarchy uniqueName="[ResourceAllocation_All].[Team Name]" caption="Team Name" attribute="1" defaultMemberUniqueName="[ResourceAllocation_All].[Team Name].[All]" allUniqueName="[ResourceAllocation_All].[Team Name].[All]" dimensionUniqueName="[ResourceAllocation_All]" displayFolder="" count="0" memberValueDatatype="130" unbalanced="0"/>
    <cacheHierarchy uniqueName="[ResourceAllocation_All].[Allocation % of Person Effort]" caption="Allocation % of Person Effort" attribute="1" defaultMemberUniqueName="[ResourceAllocation_All].[Allocation % of Person Effort].[All]" allUniqueName="[ResourceAllocation_All].[Allocation % of Person Effort].[All]" dimensionUniqueName="[ResourceAllocation_All]" displayFolder="" count="0" memberValueDatatype="5" unbalanced="0"/>
    <cacheHierarchy uniqueName="[ResourceAllocation_All].[Person Total %]" caption="Person Total %" attribute="1" defaultMemberUniqueName="[ResourceAllocation_All].[Person Total %].[All]" allUniqueName="[ResourceAllocation_All].[Person Total %].[All]" dimensionUniqueName="[ResourceAllocation_All]" displayFolder="" count="0" memberValueDatatype="5" unbalanced="0"/>
    <cacheHierarchy uniqueName="[ResourceAllocation_All].[CentreCode]" caption="CentreCode" attribute="1" defaultMemberUniqueName="[ResourceAllocation_All].[CentreCode].[All]" allUniqueName="[ResourceAllocation_All].[CentreCode].[All]" dimensionUniqueName="[ResourceAllocation_All]" displayFolder="" count="0" memberValueDatatype="130" unbalanced="0"/>
    <cacheHierarchy uniqueName="[ResourceAllocation_All].[CentreName]" caption="CentreName" attribute="1" defaultMemberUniqueName="[ResourceAllocation_All].[CentreName].[All]" allUniqueName="[ResourceAllocation_All].[CentreName].[All]" dimensionUniqueName="[ResourceAllocation_All]" displayFolder="" count="0" memberValueDatatype="130" unbalanced="0"/>
    <cacheHierarchy uniqueName="[ResourceAllocation_All].[TeamKey]" caption="TeamKey" attribute="1" defaultMemberUniqueName="[ResourceAllocation_All].[TeamKey].[All]" allUniqueName="[ResourceAllocation_All].[TeamKey].[All]" dimensionUniqueName="[ResourceAllocation_All]" displayFolder="" count="0" memberValueDatatype="130" unbalanced="0"/>
    <cacheHierarchy uniqueName="[Resources].[FirstName]" caption="FirstName" attribute="1" defaultMemberUniqueName="[Resources].[FirstName].[All]" allUniqueName="[Resources].[FirstName].[All]" dimensionUniqueName="[Resources]" displayFolder="" count="0" memberValueDatatype="130" unbalanced="0"/>
    <cacheHierarchy uniqueName="[Resources].[LastName]" caption="LastName" attribute="1" defaultMemberUniqueName="[Resources].[LastName].[All]" allUniqueName="[Resources].[LastName].[All]" dimensionUniqueName="[Resources]" displayFolder="" count="0" memberValueDatatype="130" unbalanced="0"/>
    <cacheHierarchy uniqueName="[Resources].[PositionTitle]" caption="PositionTitle" attribute="1" defaultMemberUniqueName="[Resources].[PositionTitle].[All]" allUniqueName="[Resources].[PositionTitle].[All]" dimensionUniqueName="[Resources]" displayFolder="" count="0" memberValueDatatype="130" unbalanced="0"/>
    <cacheHierarchy uniqueName="[Resources].[FullName]" caption="FullName" attribute="1" defaultMemberUniqueName="[Resources].[FullName].[All]" allUniqueName="[Resources].[FullName].[All]" dimensionUniqueName="[Resources]" displayFolder="" count="0" memberValueDatatype="130" unbalanced="0"/>
    <cacheHierarchy uniqueName="[Teams_All].[Team Name]" caption="Team Name" attribute="1" defaultMemberUniqueName="[Teams_All].[Team Name].[All]" allUniqueName="[Teams_All].[Team Name].[All]" dimensionUniqueName="[Teams_All]" displayFolder="" count="2" memberValueDatatype="130" unbalanced="0">
      <fieldsUsage count="2">
        <fieldUsage x="-1"/>
        <fieldUsage x="1"/>
      </fieldsUsage>
    </cacheHierarchy>
    <cacheHierarchy uniqueName="[Teams_All].[Resources Dedicated]" caption="Resources Dedicated" attribute="1" defaultMemberUniqueName="[Teams_All].[Resources Dedicated].[All]" allUniqueName="[Teams_All].[Resources Dedicated].[All]" dimensionUniqueName="[Teams_All]" displayFolder="" count="0" memberValueDatatype="130" unbalanced="0"/>
    <cacheHierarchy uniqueName="[Teams_All].[Priority Type]" caption="Priority Type" attribute="1" defaultMemberUniqueName="[Teams_All].[Priority Type].[All]" allUniqueName="[Teams_All].[Priority Type].[All]" dimensionUniqueName="[Teams_All]" displayFolder="" count="0" memberValueDatatype="130" unbalanced="0"/>
    <cacheHierarchy uniqueName="[Teams_All].[Priority Allocation Total]" caption="Priority Allocation Total" attribute="1" defaultMemberUniqueName="[Teams_All].[Priority Allocation Total].[All]" allUniqueName="[Teams_All].[Priority Allocation Total].[All]" dimensionUniqueName="[Teams_All]" displayFolder="" count="0" memberValueDatatype="20" unbalanced="0"/>
    <cacheHierarchy uniqueName="[Teams_All].[Resource Effort Total (FTE)]" caption="Resource Effort Total (FTE)" attribute="1" defaultMemberUniqueName="[Teams_All].[Resource Effort Total (FTE)].[All]" allUniqueName="[Teams_All].[Resource Effort Total (FTE)].[All]" dimensionUniqueName="[Teams_All]" displayFolder="" count="0" memberValueDatatype="5" unbalanced="0"/>
    <cacheHierarchy uniqueName="[Teams_All].[Team Name Sorted]" caption="Team Name Sorted" attribute="1" defaultMemberUniqueName="[Teams_All].[Team Name Sorted].[All]" allUniqueName="[Teams_All].[Team Name Sorted].[All]" dimensionUniqueName="[Teams_All]" displayFolder="" count="0" memberValueDatatype="130" unbalanced="0"/>
    <cacheHierarchy uniqueName="[Teams_All].[CentreCode]" caption="CentreCode" attribute="1" defaultMemberUniqueName="[Teams_All].[CentreCode].[All]" allUniqueName="[Teams_All].[CentreCode].[All]" dimensionUniqueName="[Teams_All]" displayFolder="" count="0" memberValueDatatype="130" unbalanced="0"/>
    <cacheHierarchy uniqueName="[Teams_All].[CentreName]" caption="CentreName" attribute="1" defaultMemberUniqueName="[Teams_All].[CentreName].[All]" allUniqueName="[Teams_All].[CentreName].[All]" dimensionUniqueName="[Teams_All]" displayFolder="" count="0" memberValueDatatype="130" unbalanced="0"/>
    <cacheHierarchy uniqueName="[Teams_All].[TeamKey]" caption="TeamKey" attribute="1" defaultMemberUniqueName="[Teams_All].[TeamKey].[All]" allUniqueName="[Teams_All].[TeamKey].[All]" dimensionUniqueName="[Teams_All]" displayFolder="" count="0" memberValueDatatype="130" unbalanced="0"/>
    <cacheHierarchy uniqueName="[Measures].[Total FTE]" caption="Total FTE" measure="1" displayFolder="" measureGroup="ResourceAllocation_All" count="0" oneField="1">
      <fieldsUsage count="1">
        <fieldUsage x="2"/>
      </fieldsUsage>
    </cacheHierarchy>
    <cacheHierarchy uniqueName="[Measures].[FTE Delivered to Priority]" caption="FTE Delivered to Priority" measure="1" displayFolder="" measureGroup="Priorities_All" count="0"/>
    <cacheHierarchy uniqueName="[Measures].[Priority Rank (Min)]" caption="Priority Rank (Min)" measure="1" displayFolder="" measureGroup="Priorities_All" count="0"/>
    <cacheHierarchy uniqueName="[Measures].[__XL_Count Teams_All]" caption="__XL_Count Teams_All" measure="1" displayFolder="" measureGroup="Teams_All" count="0" hidden="1"/>
    <cacheHierarchy uniqueName="[Measures].[__XL_Count Priorities_All]" caption="__XL_Count Priorities_All" measure="1" displayFolder="" measureGroup="Priorities_All" count="0" hidden="1"/>
    <cacheHierarchy uniqueName="[Measures].[__XL_Count ResourceAllocation_All]" caption="__XL_Count ResourceAllocation_All" measure="1" displayFolder="" measureGroup="ResourceAllocation_All" count="0" hidden="1"/>
    <cacheHierarchy uniqueName="[Measures].[__XL_Count Centres]" caption="__XL_Count Centres" measure="1" displayFolder="" measureGroup="Centres" count="0" hidden="1"/>
    <cacheHierarchy uniqueName="[Measures].[__XL_Count Priority]" caption="__XL_Count Priority" measure="1" displayFolder="" measureGroup="Priority" count="0" hidden="1"/>
    <cacheHierarchy uniqueName="[Measures].[__XL_Count Resources]" caption="__XL_Count Resources" measure="1" displayFolder="" measureGroup="Resources" count="0" hidden="1"/>
    <cacheHierarchy uniqueName="[Measures].[__No measures defined]" caption="__No measures defined" measure="1" displayFolder="" count="0" hidden="1"/>
  </cacheHierarchies>
  <kpis count="0"/>
  <dimensions count="7">
    <dimension name="Centres" uniqueName="[Centres]" caption="Centres"/>
    <dimension measure="1" name="Measures" uniqueName="[Measures]" caption="Measures"/>
    <dimension name="Priorities_All" uniqueName="[Priorities_All]" caption="Priorities_All"/>
    <dimension name="Priority" uniqueName="[Priority]" caption="Priority"/>
    <dimension name="ResourceAllocation_All" uniqueName="[ResourceAllocation_All]" caption="ResourceAllocation_All"/>
    <dimension name="Resources" uniqueName="[Resources]" caption="Resources"/>
    <dimension name="Teams_All" uniqueName="[Teams_All]" caption="Teams_All"/>
  </dimensions>
  <measureGroups count="6">
    <measureGroup name="Centres" caption="Centres"/>
    <measureGroup name="Priorities_All" caption="Priorities_All"/>
    <measureGroup name="Priority" caption="Priority"/>
    <measureGroup name="ResourceAllocation_All" caption="ResourceAllocation_All"/>
    <measureGroup name="Resources" caption="Resources"/>
    <measureGroup name="Teams_All" caption="Teams_All"/>
  </measureGroups>
  <maps count="13">
    <map measureGroup="0" dimension="0"/>
    <map measureGroup="1" dimension="0"/>
    <map measureGroup="1" dimension="2"/>
    <map measureGroup="1" dimension="3"/>
    <map measureGroup="1" dimension="6"/>
    <map measureGroup="2" dimension="3"/>
    <map measureGroup="3" dimension="0"/>
    <map measureGroup="3" dimension="4"/>
    <map measureGroup="3" dimension="5"/>
    <map measureGroup="3" dimension="6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Doug Nielsen" refreshedDate="46269.570253472222" createdVersion="5" refreshedVersion="8" minRefreshableVersion="3" recordCount="0" supportSubquery="1" supportAdvancedDrill="1" xr:uid="{0B3402DE-7564-4501-8654-448DD9656F44}">
  <cacheSource type="external" connectionId="6"/>
  <cacheFields count="3">
    <cacheField name="[Priority].[Title].[Title]" caption="Title" numFmtId="0" hierarchy="14" level="1">
      <sharedItems count="5">
        <s v="Close critical patching gap"/>
        <s v="Harden network perimeter defenses"/>
        <s v="Launch predictive analytics pilot"/>
        <s v="Provide cross-centre threat-briefing support"/>
        <s v="Reduce third-party vendor risk exposure"/>
      </sharedItems>
    </cacheField>
    <cacheField name="[Centres].[Centre].[Centre]" caption="Centre" numFmtId="0" hierarchy="1" level="1">
      <sharedItems count="3">
        <s v="Cyber Centre"/>
        <s v="Economic Centre"/>
        <s v="Infrastructure Centre"/>
      </sharedItems>
    </cacheField>
    <cacheField name="[Measures].[__XL_Count Priorities_All]" caption="__XL_Count Priorities_All" numFmtId="0" hierarchy="43" level="32767"/>
  </cacheFields>
  <cacheHierarchies count="49">
    <cacheHierarchy uniqueName="[Centres].[id]" caption="id" attribute="1" defaultMemberUniqueName="[Centres].[id].[All]" allUniqueName="[Centres].[id].[All]" dimensionUniqueName="[Centres]" displayFolder="" count="0" memberValueDatatype="20" unbalanced="0"/>
    <cacheHierarchy uniqueName="[Centres].[Centre]" caption="Centre" attribute="1" defaultMemberUniqueName="[Centres].[Centre].[All]" allUniqueName="[Centres].[Centre].[All]" dimensionUniqueName="[Centres]" displayFolder="" count="2" memberValueDatatype="130" unbalanced="0">
      <fieldsUsage count="2">
        <fieldUsage x="-1"/>
        <fieldUsage x="1"/>
      </fieldsUsage>
    </cacheHierarchy>
    <cacheHierarchy uniqueName="[Centres].[CentreCode]" caption="CentreCode" attribute="1" defaultMemberUniqueName="[Centres].[CentreCode].[All]" allUniqueName="[Centres].[CentreCode].[All]" dimensionUniqueName="[Centres]" displayFolder="" count="0" memberValueDatatype="130" unbalanced="0"/>
    <cacheHierarchy uniqueName="[Priorities_All].[Team Name]" caption="Team Name" attribute="1" defaultMemberUniqueName="[Priorities_All].[Team Name].[All]" allUniqueName="[Priorities_All].[Team Name].[All]" dimensionUniqueName="[Priorities_All]" displayFolder="" count="0" memberValueDatatype="130" unbalanced="0"/>
    <cacheHierarchy uniqueName="[Priorities_All].[Priority Title]" caption="Priority Title" attribute="1" defaultMemberUniqueName="[Priorities_All].[Priority Title].[All]" allUniqueName="[Priorities_All].[Priority Title].[All]" dimensionUniqueName="[Priorities_All]" displayFolder="" count="0" memberValueDatatype="130" unbalanced="0"/>
    <cacheHierarchy uniqueName="[Priorities_All].[Type (auto)]" caption="Type (auto)" attribute="1" defaultMemberUniqueName="[Priorities_All].[Type (auto)].[All]" allUniqueName="[Priorities_All].[Type (auto)].[All]" dimensionUniqueName="[Priorities_All]" displayFolder="" count="0" memberValueDatatype="130" unbalanced="0"/>
    <cacheHierarchy uniqueName="[Priorities_All].[Rank]" caption="Rank" attribute="1" defaultMemberUniqueName="[Priorities_All].[Rank].[All]" allUniqueName="[Priorities_All].[Rank].[All]" dimensionUniqueName="[Priorities_All]" displayFolder="" count="0" memberValueDatatype="20" unbalanced="0"/>
    <cacheHierarchy uniqueName="[Priorities_All].[Resourced]" caption="Resourced" attribute="1" defaultMemberUniqueName="[Priorities_All].[Resourced].[All]" allUniqueName="[Priorities_All].[Resourced].[All]" dimensionUniqueName="[Priorities_All]" displayFolder="" count="0" memberValueDatatype="130" unbalanced="0"/>
    <cacheHierarchy uniqueName="[Priorities_All].[Allocation % of Team Effort]" caption="Allocation % of Team Effort" attribute="1" defaultMemberUniqueName="[Priorities_All].[Allocation % of Team Effort].[All]" allUniqueName="[Priorities_All].[Allocation % of Team Effort].[All]" dimensionUniqueName="[Priorities_All]" displayFolder="" count="0" memberValueDatatype="5" unbalanced="0"/>
    <cacheHierarchy uniqueName="[Priorities_All].[Value/Risk (auto)]" caption="Value/Risk (auto)" attribute="1" defaultMemberUniqueName="[Priorities_All].[Value/Risk (auto)].[All]" allUniqueName="[Priorities_All].[Value/Risk (auto)].[All]" dimensionUniqueName="[Priorities_All]" displayFolder="" count="0" memberValueDatatype="130" unbalanced="0"/>
    <cacheHierarchy uniqueName="[Priorities_All].[Team Total % (auto)]" caption="Team Total % (auto)" attribute="1" defaultMemberUniqueName="[Priorities_All].[Team Total % (auto)].[All]" allUniqueName="[Priorities_All].[Team Total % (auto)].[All]" dimensionUniqueName="[Priorities_All]" displayFolder="" count="0" memberValueDatatype="20" unbalanced="0"/>
    <cacheHierarchy uniqueName="[Priorities_All].[CentreCode]" caption="CentreCode" attribute="1" defaultMemberUniqueName="[Priorities_All].[CentreCode].[All]" allUniqueName="[Priorities_All].[CentreCode].[All]" dimensionUniqueName="[Priorities_All]" displayFolder="" count="0" memberValueDatatype="130" unbalanced="0"/>
    <cacheHierarchy uniqueName="[Priorities_All].[CentreName]" caption="CentreName" attribute="1" defaultMemberUniqueName="[Priorities_All].[CentreName].[All]" allUniqueName="[Priorities_All].[CentreName].[All]" dimensionUniqueName="[Priorities_All]" displayFolder="" count="0" memberValueDatatype="130" unbalanced="0"/>
    <cacheHierarchy uniqueName="[Priorities_All].[TeamKey]" caption="TeamKey" attribute="1" defaultMemberUniqueName="[Priorities_All].[TeamKey].[All]" allUniqueName="[Priorities_All].[TeamKey].[All]" dimensionUniqueName="[Priorities_All]" displayFolder="" count="0" memberValueDatatype="130" unbalanced="0"/>
    <cacheHierarchy uniqueName="[Priority].[Title]" caption="Title" attribute="1" defaultMemberUniqueName="[Priority].[Title].[All]" allUniqueName="[Priority].[Title].[All]" dimensionUniqueName="[Priority]" displayFolder="" count="2" memberValueDatatype="130" unbalanced="0">
      <fieldsUsage count="2">
        <fieldUsage x="-1"/>
        <fieldUsage x="0"/>
      </fieldsUsage>
    </cacheHierarchy>
    <cacheHierarchy uniqueName="[Priority].[Type]" caption="Type" attribute="1" defaultMemberUniqueName="[Priority].[Type].[All]" allUniqueName="[Priority].[Type].[All]" dimensionUniqueName="[Priority]" displayFolder="" count="0" memberValueDatatype="130" unbalanced="0"/>
    <cacheHierarchy uniqueName="[Priority].[Impact]" caption="Impact" attribute="1" defaultMemberUniqueName="[Priority].[Impact].[All]" allUniqueName="[Priority].[Impact].[All]" dimensionUniqueName="[Priority]" displayFolder="" count="0" memberValueDatatype="130" unbalanced="0"/>
    <cacheHierarchy uniqueName="[Priority].[Resources]" caption="Resources" attribute="1" defaultMemberUniqueName="[Priority].[Resources].[All]" allUniqueName="[Priority].[Resources].[All]" dimensionUniqueName="[Priority]" displayFolder="" count="0" memberValueDatatype="130" unbalanced="0"/>
    <cacheHierarchy uniqueName="[ResourceAllocation_All].[Resource]" caption="Resource" attribute="1" defaultMemberUniqueName="[ResourceAllocation_All].[Resource].[All]" allUniqueName="[ResourceAllocation_All].[Resource].[All]" dimensionUniqueName="[ResourceAllocation_All]" displayFolder="" count="0" memberValueDatatype="130" unbalanced="0"/>
    <cacheHierarchy uniqueName="[ResourceAllocation_All].[Position Title (auto)]" caption="Position Title (auto)" attribute="1" defaultMemberUniqueName="[ResourceAllocation_All].[Position Title (auto)].[All]" allUniqueName="[ResourceAllocation_All].[Position Title (auto)].[All]" dimensionUniqueName="[ResourceAllocation_All]" displayFolder="" count="0" memberValueDatatype="130" unbalanced="0"/>
    <cacheHierarchy uniqueName="[ResourceAllocation_All].[Team Name]" caption="Team Name" attribute="1" defaultMemberUniqueName="[ResourceAllocation_All].[Team Name].[All]" allUniqueName="[ResourceAllocation_All].[Team Name].[All]" dimensionUniqueName="[ResourceAllocation_All]" displayFolder="" count="0" memberValueDatatype="130" unbalanced="0"/>
    <cacheHierarchy uniqueName="[ResourceAllocation_All].[Allocation % of Person Effort]" caption="Allocation % of Person Effort" attribute="1" defaultMemberUniqueName="[ResourceAllocation_All].[Allocation % of Person Effort].[All]" allUniqueName="[ResourceAllocation_All].[Allocation % of Person Effort].[All]" dimensionUniqueName="[ResourceAllocation_All]" displayFolder="" count="0" memberValueDatatype="5" unbalanced="0"/>
    <cacheHierarchy uniqueName="[ResourceAllocation_All].[Person Total %]" caption="Person Total %" attribute="1" defaultMemberUniqueName="[ResourceAllocation_All].[Person Total %].[All]" allUniqueName="[ResourceAllocation_All].[Person Total %].[All]" dimensionUniqueName="[ResourceAllocation_All]" displayFolder="" count="0" memberValueDatatype="5" unbalanced="0"/>
    <cacheHierarchy uniqueName="[ResourceAllocation_All].[CentreCode]" caption="CentreCode" attribute="1" defaultMemberUniqueName="[ResourceAllocation_All].[CentreCode].[All]" allUniqueName="[ResourceAllocation_All].[CentreCode].[All]" dimensionUniqueName="[ResourceAllocation_All]" displayFolder="" count="0" memberValueDatatype="130" unbalanced="0"/>
    <cacheHierarchy uniqueName="[ResourceAllocation_All].[CentreName]" caption="CentreName" attribute="1" defaultMemberUniqueName="[ResourceAllocation_All].[CentreName].[All]" allUniqueName="[ResourceAllocation_All].[CentreName].[All]" dimensionUniqueName="[ResourceAllocation_All]" displayFolder="" count="0" memberValueDatatype="130" unbalanced="0"/>
    <cacheHierarchy uniqueName="[ResourceAllocation_All].[TeamKey]" caption="TeamKey" attribute="1" defaultMemberUniqueName="[ResourceAllocation_All].[TeamKey].[All]" allUniqueName="[ResourceAllocation_All].[TeamKey].[All]" dimensionUniqueName="[ResourceAllocation_All]" displayFolder="" count="0" memberValueDatatype="130" unbalanced="0"/>
    <cacheHierarchy uniqueName="[Resources].[FirstName]" caption="FirstName" attribute="1" defaultMemberUniqueName="[Resources].[FirstName].[All]" allUniqueName="[Resources].[FirstName].[All]" dimensionUniqueName="[Resources]" displayFolder="" count="0" memberValueDatatype="130" unbalanced="0"/>
    <cacheHierarchy uniqueName="[Resources].[LastName]" caption="LastName" attribute="1" defaultMemberUniqueName="[Resources].[LastName].[All]" allUniqueName="[Resources].[LastName].[All]" dimensionUniqueName="[Resources]" displayFolder="" count="0" memberValueDatatype="130" unbalanced="0"/>
    <cacheHierarchy uniqueName="[Resources].[PositionTitle]" caption="PositionTitle" attribute="1" defaultMemberUniqueName="[Resources].[PositionTitle].[All]" allUniqueName="[Resources].[PositionTitle].[All]" dimensionUniqueName="[Resources]" displayFolder="" count="0" memberValueDatatype="130" unbalanced="0"/>
    <cacheHierarchy uniqueName="[Resources].[FullName]" caption="FullName" attribute="1" defaultMemberUniqueName="[Resources].[FullName].[All]" allUniqueName="[Resources].[FullName].[All]" dimensionUniqueName="[Resources]" displayFolder="" count="0" memberValueDatatype="130" unbalanced="0"/>
    <cacheHierarchy uniqueName="[Teams_All].[Team Name]" caption="Team Name" attribute="1" defaultMemberUniqueName="[Teams_All].[Team Name].[All]" allUniqueName="[Teams_All].[Team Name].[All]" dimensionUniqueName="[Teams_All]" displayFolder="" count="0" memberValueDatatype="130" unbalanced="0"/>
    <cacheHierarchy uniqueName="[Teams_All].[Resources Dedicated]" caption="Resources Dedicated" attribute="1" defaultMemberUniqueName="[Teams_All].[Resources Dedicated].[All]" allUniqueName="[Teams_All].[Resources Dedicated].[All]" dimensionUniqueName="[Teams_All]" displayFolder="" count="0" memberValueDatatype="130" unbalanced="0"/>
    <cacheHierarchy uniqueName="[Teams_All].[Priority Type]" caption="Priority Type" attribute="1" defaultMemberUniqueName="[Teams_All].[Priority Type].[All]" allUniqueName="[Teams_All].[Priority Type].[All]" dimensionUniqueName="[Teams_All]" displayFolder="" count="0" memberValueDatatype="130" unbalanced="0"/>
    <cacheHierarchy uniqueName="[Teams_All].[Priority Allocation Total]" caption="Priority Allocation Total" attribute="1" defaultMemberUniqueName="[Teams_All].[Priority Allocation Total].[All]" allUniqueName="[Teams_All].[Priority Allocation Total].[All]" dimensionUniqueName="[Teams_All]" displayFolder="" count="0" memberValueDatatype="20" unbalanced="0"/>
    <cacheHierarchy uniqueName="[Teams_All].[Resource Effort Total (FTE)]" caption="Resource Effort Total (FTE)" attribute="1" defaultMemberUniqueName="[Teams_All].[Resource Effort Total (FTE)].[All]" allUniqueName="[Teams_All].[Resource Effort Total (FTE)].[All]" dimensionUniqueName="[Teams_All]" displayFolder="" count="0" memberValueDatatype="5" unbalanced="0"/>
    <cacheHierarchy uniqueName="[Teams_All].[Team Name Sorted]" caption="Team Name Sorted" attribute="1" defaultMemberUniqueName="[Teams_All].[Team Name Sorted].[All]" allUniqueName="[Teams_All].[Team Name Sorted].[All]" dimensionUniqueName="[Teams_All]" displayFolder="" count="0" memberValueDatatype="130" unbalanced="0"/>
    <cacheHierarchy uniqueName="[Teams_All].[CentreCode]" caption="CentreCode" attribute="1" defaultMemberUniqueName="[Teams_All].[CentreCode].[All]" allUniqueName="[Teams_All].[CentreCode].[All]" dimensionUniqueName="[Teams_All]" displayFolder="" count="0" memberValueDatatype="130" unbalanced="0"/>
    <cacheHierarchy uniqueName="[Teams_All].[CentreName]" caption="CentreName" attribute="1" defaultMemberUniqueName="[Teams_All].[CentreName].[All]" allUniqueName="[Teams_All].[CentreName].[All]" dimensionUniqueName="[Teams_All]" displayFolder="" count="0" memberValueDatatype="130" unbalanced="0"/>
    <cacheHierarchy uniqueName="[Teams_All].[TeamKey]" caption="TeamKey" attribute="1" defaultMemberUniqueName="[Teams_All].[TeamKey].[All]" allUniqueName="[Teams_All].[TeamKey].[All]" dimensionUniqueName="[Teams_All]" displayFolder="" count="0" memberValueDatatype="130" unbalanced="0"/>
    <cacheHierarchy uniqueName="[Measures].[Total FTE]" caption="Total FTE" measure="1" displayFolder="" measureGroup="ResourceAllocation_All" count="0"/>
    <cacheHierarchy uniqueName="[Measures].[FTE Delivered to Priority]" caption="FTE Delivered to Priority" measure="1" displayFolder="" measureGroup="Priorities_All" count="0"/>
    <cacheHierarchy uniqueName="[Measures].[Priority Rank (Min)]" caption="Priority Rank (Min)" measure="1" displayFolder="" measureGroup="Priorities_All" count="0"/>
    <cacheHierarchy uniqueName="[Measures].[__XL_Count Teams_All]" caption="__XL_Count Teams_All" measure="1" displayFolder="" measureGroup="Teams_All" count="0" hidden="1"/>
    <cacheHierarchy uniqueName="[Measures].[__XL_Count Priorities_All]" caption="__XL_Count Priorities_All" measure="1" displayFolder="" measureGroup="Priorities_All" count="0" oneField="1" hidden="1">
      <fieldsUsage count="1">
        <fieldUsage x="2"/>
      </fieldsUsage>
    </cacheHierarchy>
    <cacheHierarchy uniqueName="[Measures].[__XL_Count ResourceAllocation_All]" caption="__XL_Count ResourceAllocation_All" measure="1" displayFolder="" measureGroup="ResourceAllocation_All" count="0" hidden="1"/>
    <cacheHierarchy uniqueName="[Measures].[__XL_Count Centres]" caption="__XL_Count Centres" measure="1" displayFolder="" measureGroup="Centres" count="0" hidden="1"/>
    <cacheHierarchy uniqueName="[Measures].[__XL_Count Priority]" caption="__XL_Count Priority" measure="1" displayFolder="" measureGroup="Priority" count="0" hidden="1"/>
    <cacheHierarchy uniqueName="[Measures].[__XL_Count Resources]" caption="__XL_Count Resources" measure="1" displayFolder="" measureGroup="Resources" count="0" hidden="1"/>
    <cacheHierarchy uniqueName="[Measures].[__No measures defined]" caption="__No measures defined" measure="1" displayFolder="" count="0" hidden="1"/>
  </cacheHierarchies>
  <kpis count="0"/>
  <dimensions count="7">
    <dimension name="Centres" uniqueName="[Centres]" caption="Centres"/>
    <dimension measure="1" name="Measures" uniqueName="[Measures]" caption="Measures"/>
    <dimension name="Priorities_All" uniqueName="[Priorities_All]" caption="Priorities_All"/>
    <dimension name="Priority" uniqueName="[Priority]" caption="Priority"/>
    <dimension name="ResourceAllocation_All" uniqueName="[ResourceAllocation_All]" caption="ResourceAllocation_All"/>
    <dimension name="Resources" uniqueName="[Resources]" caption="Resources"/>
    <dimension name="Teams_All" uniqueName="[Teams_All]" caption="Teams_All"/>
  </dimensions>
  <measureGroups count="6">
    <measureGroup name="Centres" caption="Centres"/>
    <measureGroup name="Priorities_All" caption="Priorities_All"/>
    <measureGroup name="Priority" caption="Priority"/>
    <measureGroup name="ResourceAllocation_All" caption="ResourceAllocation_All"/>
    <measureGroup name="Resources" caption="Resources"/>
    <measureGroup name="Teams_All" caption="Teams_All"/>
  </measureGroups>
  <maps count="13">
    <map measureGroup="0" dimension="0"/>
    <map measureGroup="1" dimension="0"/>
    <map measureGroup="1" dimension="2"/>
    <map measureGroup="1" dimension="3"/>
    <map measureGroup="1" dimension="6"/>
    <map measureGroup="2" dimension="3"/>
    <map measureGroup="3" dimension="0"/>
    <map measureGroup="3" dimension="4"/>
    <map measureGroup="3" dimension="5"/>
    <map measureGroup="3" dimension="6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90108-DD92-442D-B54F-F842F003E3E9}" name="ConsolidatedPriorities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E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EE238-8252-457A-A60C-308E171A8657}" name="FTEByCentreTeam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B11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8">
    <i>
      <x/>
    </i>
    <i r="1">
      <x/>
    </i>
    <i r="1">
      <x v="1"/>
    </i>
    <i>
      <x v="1"/>
    </i>
    <i r="1">
      <x v="2"/>
    </i>
    <i>
      <x v="2"/>
    </i>
    <i r="1">
      <x v="2"/>
    </i>
    <i t="grand">
      <x/>
    </i>
  </rowItems>
  <colItems count="1">
    <i/>
  </colItems>
  <dataFields count="1">
    <dataField fld="2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BDD2E-7F3F-4F76-914D-F448054274D3}" name="FTEByPriority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0E347980-8966-48B3-BC41-9ED873C16BDE}" autoFormatId="0" applyNumberFormats="0" applyBorderFormats="0" applyFontFormats="1" applyPatternFormats="1" applyAlignmentFormats="0" applyWidthHeightFormats="0">
  <queryTableRefresh nextId="5">
    <queryTableFields count="4">
      <queryTableField id="1" name="Centre" tableColumnId="5"/>
      <queryTableField id="2" name="File" tableColumnId="6"/>
      <queryTableField id="3" name="File last saved" tableColumnId="7"/>
      <queryTableField id="4" name="Data as of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9B859B1C-1DB4-434E-BDDD-2F8B50DF2A37}" autoFormatId="0" applyNumberFormats="0" applyBorderFormats="0" applyFontFormats="1" applyPatternFormats="1" applyAlignmentFormats="0" applyWidthHeightFormats="0">
  <queryTableRefresh nextId="14">
    <queryTableFields count="11">
      <queryTableField id="1" name="Team Name" tableColumnId="10"/>
      <queryTableField id="2" name="Priority Title" tableColumnId="11"/>
      <queryTableField id="3" name="Type (auto)" tableColumnId="12"/>
      <queryTableField id="4" name="Rank" tableColumnId="13"/>
      <queryTableField id="5" name="Resourced" tableColumnId="14"/>
      <queryTableField id="6" name="Allocation % of Team Effort" tableColumnId="15"/>
      <queryTableField id="10" name="Value/Risk (auto)" tableColumnId="1"/>
      <queryTableField id="12" name="Team Total % (auto)" tableColumnId="2"/>
      <queryTableField id="7" name="CentreCode" tableColumnId="16"/>
      <queryTableField id="8" name="CentreName" tableColumnId="17"/>
      <queryTableField id="9" name="TeamKey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E5BB46D-07D4-4B94-8516-18EF6A94DE25}" autoFormatId="0" applyNumberFormats="0" applyBorderFormats="0" applyFontFormats="1" applyPatternFormats="1" applyAlignmentFormats="0" applyWidthHeightFormats="0">
  <queryTableRefresh nextId="11">
    <queryTableFields count="9">
      <queryTableField id="1" name="Team Name" tableColumnId="9"/>
      <queryTableField id="2" name="Resources Dedicated" tableColumnId="10"/>
      <queryTableField id="3" name="Priority Type" tableColumnId="11"/>
      <queryTableField id="4" name="Priority Allocation Total" tableColumnId="12"/>
      <queryTableField id="5" name="Resource Effort Total (FTE)" tableColumnId="13"/>
      <queryTableField id="9" name="Team Name Sorted" tableColumnId="1"/>
      <queryTableField id="6" name="CentreCode" tableColumnId="14"/>
      <queryTableField id="7" name="CentreName" tableColumnId="15"/>
      <queryTableField id="8" name="TeamKey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CD9CCAA5-4216-4528-9A5F-33A6AD01A402}" autoFormatId="0" applyNumberFormats="0" applyBorderFormats="0" applyFontFormats="1" applyPatternFormats="1" applyAlignmentFormats="0" applyWidthHeightFormats="0">
  <queryTableRefresh nextId="9">
    <queryTableFields count="8">
      <queryTableField id="1" name="Resource" tableColumnId="9"/>
      <queryTableField id="2" name="Position Title (auto)" tableColumnId="10"/>
      <queryTableField id="3" name="Team Name" tableColumnId="11"/>
      <queryTableField id="4" name="Allocation % of Person Effort" tableColumnId="12"/>
      <queryTableField id="5" name="Person Total %" tableColumnId="13"/>
      <queryTableField id="6" name="CentreCode" tableColumnId="14"/>
      <queryTableField id="7" name="CentreName" tableColumnId="15"/>
      <queryTableField id="8" name="TeamKe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E89C07-74EF-4097-89A5-57F9CCE25374}" name="RefreshStatus" displayName="RefreshStatus" ref="A4:D7" tableType="queryTable" totalsRowShown="0">
  <autoFilter ref="A4:D7" xr:uid="{70E89C07-74EF-4097-89A5-57F9CCE25374}"/>
  <tableColumns count="4">
    <tableColumn id="5" xr3:uid="{6C48650C-905C-4C64-8CF5-13A2FC27447A}" uniqueName="5" name="Centre" queryTableFieldId="1" dataDxfId="3"/>
    <tableColumn id="6" xr3:uid="{71D4AFAE-557F-4503-8C1A-D94E51E77744}" uniqueName="6" name="File" queryTableFieldId="2" dataDxfId="2"/>
    <tableColumn id="7" xr3:uid="{D505AA00-2E48-4C7B-B514-DECC42DE4C55}" uniqueName="7" name="File last saved" queryTableFieldId="3" dataDxfId="1"/>
    <tableColumn id="8" xr3:uid="{4C3C11B7-3499-4292-816B-0E5BC611D1B4}" uniqueName="8" name="Data as of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" displayName="Config" ref="A15:A16">
  <autoFilter ref="A15:A16" xr:uid="{00000000-0009-0000-0100-000001000000}"/>
  <tableColumns count="1">
    <tableColumn id="1" xr3:uid="{00000000-0010-0000-0000-000001000000}" name="SourceFol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C40D6E-0077-4418-923F-1CD36DAFBB5A}" name="Priorities_All" displayName="Priorities_All" ref="A1:K6" tableType="queryTable" totalsRowShown="0">
  <autoFilter ref="A1:K6" xr:uid="{55C40D6E-0077-4418-923F-1CD36DAFBB5A}"/>
  <tableColumns count="11">
    <tableColumn id="10" xr3:uid="{C1FCB902-D916-431C-BEDF-7240300854A0}" uniqueName="10" name="Team Name" queryTableFieldId="1"/>
    <tableColumn id="11" xr3:uid="{BCC4C604-04EC-420A-AB67-1A28FE4967BB}" uniqueName="11" name="Priority Title" queryTableFieldId="2"/>
    <tableColumn id="12" xr3:uid="{854C6A26-ACBD-4AA1-83FA-320716548D26}" uniqueName="12" name="Type (auto)" queryTableFieldId="3"/>
    <tableColumn id="13" xr3:uid="{46A6DB8B-4CDF-4704-A121-1B46C861B35F}" uniqueName="13" name="Rank" queryTableFieldId="4"/>
    <tableColumn id="14" xr3:uid="{9C24AEFF-1C4B-4AF4-A875-B6B27CFCDFE9}" uniqueName="14" name="Resourced" queryTableFieldId="5"/>
    <tableColumn id="15" xr3:uid="{DB479074-627F-4BDC-8B1D-F0E4DF1E8AD4}" uniqueName="15" name="Allocation % of Team Effort" queryTableFieldId="6"/>
    <tableColumn id="1" xr3:uid="{D032F88E-49F0-4F45-B4BB-80D93C0270AF}" uniqueName="1" name="Value/Risk (auto)" queryTableFieldId="10"/>
    <tableColumn id="2" xr3:uid="{B75ACC8D-1C10-4A8C-A3E3-747CA982853C}" uniqueName="2" name="Team Total % (auto)" queryTableFieldId="12"/>
    <tableColumn id="16" xr3:uid="{78DF813C-7F4A-4866-A760-1C493F5DDB48}" uniqueName="16" name="CentreCode" queryTableFieldId="7"/>
    <tableColumn id="17" xr3:uid="{73EC0C53-69F0-4661-9DC3-3C52E1CA44EA}" uniqueName="17" name="CentreName" queryTableFieldId="8"/>
    <tableColumn id="18" xr3:uid="{953A3399-086C-4C82-921B-84B025F16A5E}" uniqueName="18" name="TeamKey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83F6EA-275A-44FE-9AF6-3522A5C02410}" name="Teams_All" displayName="Teams_All" ref="A1:I5" tableType="queryTable" totalsRowShown="0">
  <autoFilter ref="A1:I5" xr:uid="{C183F6EA-275A-44FE-9AF6-3522A5C02410}"/>
  <tableColumns count="9">
    <tableColumn id="9" xr3:uid="{F372F9F5-433F-4A4A-9112-7AEF06C01494}" uniqueName="9" name="Team Name" queryTableFieldId="1"/>
    <tableColumn id="10" xr3:uid="{60F0F252-3A44-4874-9577-7318A4C09806}" uniqueName="10" name="Resources Dedicated" queryTableFieldId="2"/>
    <tableColumn id="11" xr3:uid="{75B4D693-23FA-4A59-8168-827AF86568A9}" uniqueName="11" name="Priority Type" queryTableFieldId="3"/>
    <tableColumn id="12" xr3:uid="{24F95F46-F9DA-408D-B185-BC42DABC8044}" uniqueName="12" name="Priority Allocation Total" queryTableFieldId="4"/>
    <tableColumn id="13" xr3:uid="{3D1E9BB0-2917-493D-8153-AB97F6BEFB4F}" uniqueName="13" name="Resource Effort Total (FTE)" queryTableFieldId="5"/>
    <tableColumn id="1" xr3:uid="{E9B8882D-8A61-43BB-A620-F0A96E43940C}" uniqueName="1" name="Team Name Sorted" queryTableFieldId="9"/>
    <tableColumn id="14" xr3:uid="{7C27B6DF-3BDE-44D5-9576-8A7E4EE1131D}" uniqueName="14" name="CentreCode" queryTableFieldId="6"/>
    <tableColumn id="15" xr3:uid="{719ED41C-F009-411D-BC0F-443405C5E68C}" uniqueName="15" name="CentreName" queryTableFieldId="7"/>
    <tableColumn id="16" xr3:uid="{4941DBBE-925C-4203-B0F3-3C79CB058415}" uniqueName="16" name="TeamKey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BB4AD3-9570-4EC6-B31D-FB25E60253A1}" name="ResourceAllocation_All" displayName="ResourceAllocation_All" ref="A1:H6" tableType="queryTable" totalsRowShown="0">
  <autoFilter ref="A1:H6" xr:uid="{D2BB4AD3-9570-4EC6-B31D-FB25E60253A1}"/>
  <tableColumns count="8">
    <tableColumn id="9" xr3:uid="{E5E0C89C-76E4-4275-B76E-E4B59FB56CA6}" uniqueName="9" name="Resource" queryTableFieldId="1"/>
    <tableColumn id="10" xr3:uid="{6AAEA6C5-3F98-4D08-9269-C03E2FCE1647}" uniqueName="10" name="Position Title (auto)" queryTableFieldId="2"/>
    <tableColumn id="11" xr3:uid="{DE158B1C-5226-472D-873A-FA43D56993CF}" uniqueName="11" name="Team Name" queryTableFieldId="3"/>
    <tableColumn id="12" xr3:uid="{87110BCC-DA8C-4597-9E8D-131DE8FAF882}" uniqueName="12" name="Allocation % of Person Effort" queryTableFieldId="4"/>
    <tableColumn id="13" xr3:uid="{3B9EDB57-B20F-4CBB-96A8-F31315A9CFC6}" uniqueName="13" name="Person Total %" queryTableFieldId="5"/>
    <tableColumn id="14" xr3:uid="{DA475AF0-81B4-42FA-9B61-C3FEB7375DA1}" uniqueName="14" name="CentreCode" queryTableFieldId="6"/>
    <tableColumn id="15" xr3:uid="{9D271CF8-1B75-448C-8C57-2103942C9EC6}" uniqueName="15" name="CentreName" queryTableFieldId="7"/>
    <tableColumn id="16" xr3:uid="{308E2842-2B09-44B9-BA38-6219AAE54798}" uniqueName="16" name="TeamKey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entres" displayName="Centres" ref="A1:C7">
  <autoFilter ref="A1:C7" xr:uid="{00000000-0009-0000-0100-000002000000}"/>
  <tableColumns count="3">
    <tableColumn id="1" xr3:uid="{00000000-0010-0000-0100-000001000000}" name="id"/>
    <tableColumn id="2" xr3:uid="{00000000-0010-0000-0100-000002000000}" name="Centre"/>
    <tableColumn id="3" xr3:uid="{00000000-0010-0000-0100-000003000000}" name="CentreCod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ority" displayName="Priority" ref="A1:D51">
  <autoFilter ref="A1:D51" xr:uid="{00000000-0009-0000-0100-000003000000}"/>
  <tableColumns count="4">
    <tableColumn id="1" xr3:uid="{00000000-0010-0000-0200-000001000000}" name="Title"/>
    <tableColumn id="2" xr3:uid="{00000000-0010-0000-0200-000002000000}" name="Type"/>
    <tableColumn id="3" xr3:uid="{00000000-0010-0000-0200-000003000000}" name="Impact"/>
    <tableColumn id="4" xr3:uid="{00000000-0010-0000-0200-000004000000}" name="Resource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ources" displayName="Resources" ref="A1:D101">
  <autoFilter ref="A1:D101" xr:uid="{00000000-0009-0000-0100-000004000000}"/>
  <tableColumns count="4">
    <tableColumn id="1" xr3:uid="{00000000-0010-0000-0300-000001000000}" name="FirstName"/>
    <tableColumn id="2" xr3:uid="{00000000-0010-0000-0300-000002000000}" name="LastName"/>
    <tableColumn id="3" xr3:uid="{00000000-0010-0000-0300-000003000000}" name="PositionTitle"/>
    <tableColumn id="4" xr3:uid="{00000000-0010-0000-0300-000004000000}" name="FullNam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08A0-04D2-420C-B1E4-86FAB8074C87}">
  <dimension ref="A1:D7"/>
  <sheetViews>
    <sheetView tabSelected="1" workbookViewId="0"/>
  </sheetViews>
  <sheetFormatPr defaultRowHeight="15" x14ac:dyDescent="0.25"/>
  <cols>
    <col min="1" max="1" width="19.85546875" bestFit="1" customWidth="1"/>
    <col min="2" max="2" width="15.42578125" bestFit="1" customWidth="1"/>
    <col min="3" max="3" width="15.85546875" bestFit="1" customWidth="1"/>
    <col min="4" max="4" width="15.5703125" bestFit="1" customWidth="1"/>
  </cols>
  <sheetData>
    <row r="1" spans="1:4" ht="15.75" x14ac:dyDescent="0.25">
      <c r="A1" s="14" t="s">
        <v>203</v>
      </c>
      <c r="C1" s="13" t="str">
        <f>COUNTA(RefreshStatus[File])&amp;" file(s) found"</f>
        <v>3 file(s) found</v>
      </c>
    </row>
    <row r="2" spans="1:4" x14ac:dyDescent="0.25">
      <c r="A2" s="15" t="s">
        <v>204</v>
      </c>
    </row>
    <row r="4" spans="1:4" x14ac:dyDescent="0.25">
      <c r="A4" t="s">
        <v>13</v>
      </c>
      <c r="B4" t="s">
        <v>205</v>
      </c>
      <c r="C4" t="s">
        <v>206</v>
      </c>
      <c r="D4" t="s">
        <v>207</v>
      </c>
    </row>
    <row r="5" spans="1:4" x14ac:dyDescent="0.25">
      <c r="A5" t="s">
        <v>15</v>
      </c>
      <c r="B5" t="s">
        <v>208</v>
      </c>
      <c r="C5" s="16">
        <v>46269.566891689814</v>
      </c>
      <c r="D5" s="16">
        <v>46269.570229097226</v>
      </c>
    </row>
    <row r="6" spans="1:4" x14ac:dyDescent="0.25">
      <c r="A6" t="s">
        <v>17</v>
      </c>
      <c r="B6" t="s">
        <v>209</v>
      </c>
      <c r="C6" s="16">
        <v>46269.567649108794</v>
      </c>
      <c r="D6" s="16">
        <v>46269.570229097226</v>
      </c>
    </row>
    <row r="7" spans="1:4" x14ac:dyDescent="0.25">
      <c r="A7" t="s">
        <v>19</v>
      </c>
      <c r="B7" t="s">
        <v>210</v>
      </c>
      <c r="C7" s="16">
        <v>46269.568370486108</v>
      </c>
      <c r="D7" s="16">
        <v>46269.570229097226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ht="15.75" x14ac:dyDescent="0.25">
      <c r="A3" s="3" t="s">
        <v>1</v>
      </c>
    </row>
    <row r="4" spans="1:1" ht="30" customHeight="1" x14ac:dyDescent="0.25">
      <c r="A4" s="4" t="s">
        <v>2</v>
      </c>
    </row>
    <row r="5" spans="1:1" x14ac:dyDescent="0.25">
      <c r="A5" s="2"/>
    </row>
    <row r="6" spans="1:1" ht="15.75" x14ac:dyDescent="0.25">
      <c r="A6" s="3" t="s">
        <v>3</v>
      </c>
    </row>
    <row r="7" spans="1:1" ht="30" customHeight="1" x14ac:dyDescent="0.25">
      <c r="A7" s="4" t="s">
        <v>4</v>
      </c>
    </row>
    <row r="8" spans="1:1" ht="30" customHeight="1" x14ac:dyDescent="0.25">
      <c r="A8" s="4" t="s">
        <v>5</v>
      </c>
    </row>
    <row r="9" spans="1:1" ht="30" customHeight="1" x14ac:dyDescent="0.25">
      <c r="A9" s="4" t="s">
        <v>6</v>
      </c>
    </row>
    <row r="10" spans="1:1" x14ac:dyDescent="0.25">
      <c r="A10" s="2"/>
    </row>
    <row r="11" spans="1:1" ht="15.75" x14ac:dyDescent="0.25">
      <c r="A11" s="3" t="s">
        <v>7</v>
      </c>
    </row>
    <row r="12" spans="1:1" ht="30" customHeight="1" x14ac:dyDescent="0.25">
      <c r="A12" s="4" t="s">
        <v>8</v>
      </c>
    </row>
    <row r="13" spans="1:1" x14ac:dyDescent="0.25">
      <c r="A13" s="2"/>
    </row>
    <row r="14" spans="1:1" ht="15.75" x14ac:dyDescent="0.25">
      <c r="A14" s="3" t="s">
        <v>9</v>
      </c>
    </row>
    <row r="15" spans="1:1" x14ac:dyDescent="0.25">
      <c r="A15" s="5" t="s">
        <v>10</v>
      </c>
    </row>
    <row r="16" spans="1:1" x14ac:dyDescent="0.25">
      <c r="A16" s="6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F7D7-EC49-4C39-A432-35953AE728CA}">
  <dimension ref="A3:E10"/>
  <sheetViews>
    <sheetView workbookViewId="0"/>
  </sheetViews>
  <sheetFormatPr defaultRowHeight="15" x14ac:dyDescent="0.25"/>
  <cols>
    <col min="1" max="1" width="41" bestFit="1" customWidth="1"/>
    <col min="2" max="2" width="16.28515625" bestFit="1" customWidth="1"/>
    <col min="3" max="3" width="16" bestFit="1" customWidth="1"/>
    <col min="4" max="4" width="19.85546875" bestFit="1" customWidth="1"/>
    <col min="5" max="5" width="11.28515625" bestFit="1" customWidth="1"/>
    <col min="6" max="6" width="13.42578125" bestFit="1" customWidth="1"/>
    <col min="7" max="7" width="19.85546875" bestFit="1" customWidth="1"/>
    <col min="8" max="8" width="11.28515625" bestFit="1" customWidth="1"/>
  </cols>
  <sheetData>
    <row r="3" spans="1:5" x14ac:dyDescent="0.25">
      <c r="A3" s="9" t="s">
        <v>193</v>
      </c>
      <c r="B3" s="9" t="s">
        <v>192</v>
      </c>
    </row>
    <row r="4" spans="1:5" x14ac:dyDescent="0.25">
      <c r="A4" s="9" t="s">
        <v>190</v>
      </c>
      <c r="B4" t="s">
        <v>15</v>
      </c>
      <c r="C4" t="s">
        <v>17</v>
      </c>
      <c r="D4" t="s">
        <v>19</v>
      </c>
      <c r="E4" t="s">
        <v>191</v>
      </c>
    </row>
    <row r="5" spans="1:5" x14ac:dyDescent="0.25">
      <c r="A5" s="10" t="s">
        <v>35</v>
      </c>
      <c r="B5" s="17">
        <v>1</v>
      </c>
      <c r="C5" s="17"/>
      <c r="D5" s="17"/>
      <c r="E5" s="17">
        <v>1</v>
      </c>
    </row>
    <row r="6" spans="1:5" x14ac:dyDescent="0.25">
      <c r="A6" s="10" t="s">
        <v>31</v>
      </c>
      <c r="B6" s="17">
        <v>1</v>
      </c>
      <c r="C6" s="17"/>
      <c r="D6" s="17"/>
      <c r="E6" s="17">
        <v>1</v>
      </c>
    </row>
    <row r="7" spans="1:5" x14ac:dyDescent="0.25">
      <c r="A7" s="10" t="s">
        <v>51</v>
      </c>
      <c r="B7" s="17">
        <v>1</v>
      </c>
      <c r="C7" s="17"/>
      <c r="D7" s="17"/>
      <c r="E7" s="17">
        <v>1</v>
      </c>
    </row>
    <row r="8" spans="1:5" x14ac:dyDescent="0.25">
      <c r="A8" s="10" t="s">
        <v>69</v>
      </c>
      <c r="B8" s="17"/>
      <c r="C8" s="17">
        <v>1</v>
      </c>
      <c r="D8" s="17"/>
      <c r="E8" s="17">
        <v>1</v>
      </c>
    </row>
    <row r="9" spans="1:5" x14ac:dyDescent="0.25">
      <c r="A9" s="10" t="s">
        <v>36</v>
      </c>
      <c r="B9" s="17"/>
      <c r="C9" s="17"/>
      <c r="D9" s="17">
        <v>1</v>
      </c>
      <c r="E9" s="17">
        <v>1</v>
      </c>
    </row>
    <row r="10" spans="1:5" x14ac:dyDescent="0.25">
      <c r="A10" s="10" t="s">
        <v>191</v>
      </c>
      <c r="B10" s="17">
        <v>3</v>
      </c>
      <c r="C10" s="17">
        <v>1</v>
      </c>
      <c r="D10" s="17">
        <v>1</v>
      </c>
      <c r="E10" s="1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122C-E818-4732-8EC6-FDA44B1776CF}">
  <dimension ref="A3:B11"/>
  <sheetViews>
    <sheetView workbookViewId="0"/>
  </sheetViews>
  <sheetFormatPr defaultRowHeight="15" x14ac:dyDescent="0.25"/>
  <cols>
    <col min="1" max="1" width="21.7109375" bestFit="1" customWidth="1"/>
    <col min="2" max="2" width="8.85546875" bestFit="1" customWidth="1"/>
  </cols>
  <sheetData>
    <row r="3" spans="1:2" x14ac:dyDescent="0.25">
      <c r="A3" s="9" t="s">
        <v>190</v>
      </c>
      <c r="B3" t="s">
        <v>194</v>
      </c>
    </row>
    <row r="4" spans="1:2" x14ac:dyDescent="0.25">
      <c r="A4" s="10" t="s">
        <v>15</v>
      </c>
      <c r="B4" s="17"/>
    </row>
    <row r="5" spans="1:2" x14ac:dyDescent="0.25">
      <c r="A5" s="11" t="s">
        <v>170</v>
      </c>
      <c r="B5" s="12">
        <v>1</v>
      </c>
    </row>
    <row r="6" spans="1:2" x14ac:dyDescent="0.25">
      <c r="A6" s="11" t="s">
        <v>173</v>
      </c>
      <c r="B6" s="12">
        <v>1</v>
      </c>
    </row>
    <row r="7" spans="1:2" x14ac:dyDescent="0.25">
      <c r="A7" s="10" t="s">
        <v>17</v>
      </c>
      <c r="B7" s="17"/>
    </row>
    <row r="8" spans="1:2" x14ac:dyDescent="0.25">
      <c r="A8" s="11" t="s">
        <v>175</v>
      </c>
      <c r="B8" s="12">
        <v>0.75</v>
      </c>
    </row>
    <row r="9" spans="1:2" x14ac:dyDescent="0.25">
      <c r="A9" s="10" t="s">
        <v>19</v>
      </c>
      <c r="B9" s="17"/>
    </row>
    <row r="10" spans="1:2" x14ac:dyDescent="0.25">
      <c r="A10" s="11" t="s">
        <v>175</v>
      </c>
      <c r="B10" s="12">
        <v>0.25</v>
      </c>
    </row>
    <row r="11" spans="1:2" x14ac:dyDescent="0.25">
      <c r="A11" s="10" t="s">
        <v>191</v>
      </c>
      <c r="B11" s="1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5CA5-8C3B-4F45-874D-35E3DDAB6635}">
  <dimension ref="A3:B9"/>
  <sheetViews>
    <sheetView workbookViewId="0"/>
  </sheetViews>
  <sheetFormatPr defaultRowHeight="15" x14ac:dyDescent="0.25"/>
  <cols>
    <col min="1" max="1" width="41" bestFit="1" customWidth="1"/>
    <col min="2" max="2" width="22.85546875" bestFit="1" customWidth="1"/>
  </cols>
  <sheetData>
    <row r="3" spans="1:2" x14ac:dyDescent="0.25">
      <c r="A3" s="9" t="s">
        <v>190</v>
      </c>
      <c r="B3" t="s">
        <v>195</v>
      </c>
    </row>
    <row r="4" spans="1:2" x14ac:dyDescent="0.25">
      <c r="A4" s="10" t="s">
        <v>35</v>
      </c>
      <c r="B4" s="12">
        <v>0.4</v>
      </c>
    </row>
    <row r="5" spans="1:2" x14ac:dyDescent="0.25">
      <c r="A5" s="10" t="s">
        <v>31</v>
      </c>
      <c r="B5" s="12">
        <v>0.6</v>
      </c>
    </row>
    <row r="6" spans="1:2" x14ac:dyDescent="0.25">
      <c r="A6" s="10" t="s">
        <v>51</v>
      </c>
      <c r="B6" s="12">
        <v>1</v>
      </c>
    </row>
    <row r="7" spans="1:2" x14ac:dyDescent="0.25">
      <c r="A7" s="10" t="s">
        <v>69</v>
      </c>
      <c r="B7" s="12">
        <v>0.75</v>
      </c>
    </row>
    <row r="8" spans="1:2" x14ac:dyDescent="0.25">
      <c r="A8" s="10" t="s">
        <v>36</v>
      </c>
      <c r="B8" s="12">
        <v>0.25</v>
      </c>
    </row>
    <row r="9" spans="1:2" x14ac:dyDescent="0.25">
      <c r="A9" s="10" t="s">
        <v>191</v>
      </c>
      <c r="B9" s="1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F6BF-BC1A-48A0-A8D1-AAB119E53E78}">
  <dimension ref="A1:K6"/>
  <sheetViews>
    <sheetView workbookViewId="0"/>
  </sheetViews>
  <sheetFormatPr defaultRowHeight="15" x14ac:dyDescent="0.25"/>
  <cols>
    <col min="1" max="1" width="13.85546875" bestFit="1" customWidth="1"/>
    <col min="2" max="2" width="41" bestFit="1" customWidth="1"/>
    <col min="3" max="3" width="13.42578125" bestFit="1" customWidth="1"/>
    <col min="4" max="4" width="7.5703125" bestFit="1" customWidth="1"/>
    <col min="5" max="5" width="12.5703125" bestFit="1" customWidth="1"/>
    <col min="6" max="6" width="27.85546875" bestFit="1" customWidth="1"/>
    <col min="7" max="7" width="18.85546875" bestFit="1" customWidth="1"/>
    <col min="8" max="8" width="21.140625" bestFit="1" customWidth="1"/>
    <col min="9" max="9" width="13.85546875" bestFit="1" customWidth="1"/>
    <col min="10" max="10" width="19.85546875" bestFit="1" customWidth="1"/>
    <col min="11" max="11" width="18" customWidth="1"/>
  </cols>
  <sheetData>
    <row r="1" spans="1:11" x14ac:dyDescent="0.25">
      <c r="A1" t="s">
        <v>163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196</v>
      </c>
      <c r="H1" t="s">
        <v>211</v>
      </c>
      <c r="I1" t="s">
        <v>14</v>
      </c>
      <c r="J1" t="s">
        <v>168</v>
      </c>
      <c r="K1" t="s">
        <v>169</v>
      </c>
    </row>
    <row r="2" spans="1:11" x14ac:dyDescent="0.25">
      <c r="A2" t="s">
        <v>170</v>
      </c>
      <c r="B2" t="s">
        <v>31</v>
      </c>
      <c r="C2" t="s">
        <v>32</v>
      </c>
      <c r="D2">
        <v>1</v>
      </c>
      <c r="E2" t="s">
        <v>171</v>
      </c>
      <c r="F2">
        <v>0.6</v>
      </c>
      <c r="G2" t="s">
        <v>197</v>
      </c>
      <c r="H2">
        <v>1</v>
      </c>
      <c r="I2" t="s">
        <v>16</v>
      </c>
      <c r="J2" t="s">
        <v>15</v>
      </c>
      <c r="K2" t="s">
        <v>172</v>
      </c>
    </row>
    <row r="3" spans="1:11" x14ac:dyDescent="0.25">
      <c r="A3" t="s">
        <v>170</v>
      </c>
      <c r="B3" t="s">
        <v>35</v>
      </c>
      <c r="C3" t="s">
        <v>32</v>
      </c>
      <c r="D3">
        <v>2</v>
      </c>
      <c r="E3" t="s">
        <v>171</v>
      </c>
      <c r="F3">
        <v>0.4</v>
      </c>
      <c r="G3" t="s">
        <v>198</v>
      </c>
      <c r="H3">
        <v>1</v>
      </c>
      <c r="I3" t="s">
        <v>16</v>
      </c>
      <c r="J3" t="s">
        <v>15</v>
      </c>
      <c r="K3" t="s">
        <v>172</v>
      </c>
    </row>
    <row r="4" spans="1:11" x14ac:dyDescent="0.25">
      <c r="A4" t="s">
        <v>173</v>
      </c>
      <c r="B4" t="s">
        <v>51</v>
      </c>
      <c r="C4" t="s">
        <v>52</v>
      </c>
      <c r="D4">
        <v>1</v>
      </c>
      <c r="E4" t="s">
        <v>171</v>
      </c>
      <c r="F4">
        <v>1</v>
      </c>
      <c r="G4" t="s">
        <v>199</v>
      </c>
      <c r="H4">
        <v>1</v>
      </c>
      <c r="I4" t="s">
        <v>16</v>
      </c>
      <c r="J4" t="s">
        <v>15</v>
      </c>
      <c r="K4" t="s">
        <v>174</v>
      </c>
    </row>
    <row r="5" spans="1:11" x14ac:dyDescent="0.25">
      <c r="A5" t="s">
        <v>175</v>
      </c>
      <c r="B5" t="s">
        <v>69</v>
      </c>
      <c r="C5" t="s">
        <v>70</v>
      </c>
      <c r="D5">
        <v>1</v>
      </c>
      <c r="E5" t="s">
        <v>171</v>
      </c>
      <c r="F5">
        <v>1</v>
      </c>
      <c r="G5" t="s">
        <v>199</v>
      </c>
      <c r="H5">
        <v>1</v>
      </c>
      <c r="I5" t="s">
        <v>18</v>
      </c>
      <c r="J5" t="s">
        <v>17</v>
      </c>
      <c r="K5" t="s">
        <v>176</v>
      </c>
    </row>
    <row r="6" spans="1:11" x14ac:dyDescent="0.25">
      <c r="A6" t="s">
        <v>175</v>
      </c>
      <c r="B6" t="s">
        <v>36</v>
      </c>
      <c r="C6" t="s">
        <v>32</v>
      </c>
      <c r="D6">
        <v>1</v>
      </c>
      <c r="E6" t="s">
        <v>171</v>
      </c>
      <c r="F6">
        <v>1</v>
      </c>
      <c r="G6" t="s">
        <v>198</v>
      </c>
      <c r="H6">
        <v>1</v>
      </c>
      <c r="I6" t="s">
        <v>20</v>
      </c>
      <c r="J6" t="s">
        <v>19</v>
      </c>
      <c r="K6" t="s">
        <v>177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50B8-941A-4F8C-938F-947BE4F9D897}">
  <dimension ref="A1:I5"/>
  <sheetViews>
    <sheetView workbookViewId="0"/>
  </sheetViews>
  <sheetFormatPr defaultRowHeight="15" x14ac:dyDescent="0.25"/>
  <cols>
    <col min="1" max="1" width="13.85546875" bestFit="1" customWidth="1"/>
    <col min="2" max="2" width="22" bestFit="1" customWidth="1"/>
    <col min="3" max="3" width="14.5703125" bestFit="1" customWidth="1"/>
    <col min="4" max="4" width="24.5703125" bestFit="1" customWidth="1"/>
    <col min="5" max="5" width="27" bestFit="1" customWidth="1"/>
    <col min="6" max="6" width="20.42578125" bestFit="1" customWidth="1"/>
    <col min="7" max="7" width="13.85546875" bestFit="1" customWidth="1"/>
    <col min="8" max="8" width="19.85546875" bestFit="1" customWidth="1"/>
    <col min="9" max="9" width="18" customWidth="1"/>
  </cols>
  <sheetData>
    <row r="1" spans="1:9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200</v>
      </c>
      <c r="G1" t="s">
        <v>14</v>
      </c>
      <c r="H1" t="s">
        <v>168</v>
      </c>
      <c r="I1" t="s">
        <v>169</v>
      </c>
    </row>
    <row r="2" spans="1:9" x14ac:dyDescent="0.25">
      <c r="A2" t="s">
        <v>170</v>
      </c>
      <c r="B2" t="s">
        <v>171</v>
      </c>
      <c r="C2" t="s">
        <v>32</v>
      </c>
      <c r="D2">
        <v>1</v>
      </c>
      <c r="E2">
        <v>1</v>
      </c>
      <c r="F2" t="s">
        <v>170</v>
      </c>
      <c r="G2" t="s">
        <v>16</v>
      </c>
      <c r="H2" t="s">
        <v>15</v>
      </c>
      <c r="I2" t="s">
        <v>172</v>
      </c>
    </row>
    <row r="3" spans="1:9" x14ac:dyDescent="0.25">
      <c r="A3" t="s">
        <v>173</v>
      </c>
      <c r="B3" t="s">
        <v>171</v>
      </c>
      <c r="C3" t="s">
        <v>52</v>
      </c>
      <c r="D3">
        <v>1</v>
      </c>
      <c r="E3">
        <v>1</v>
      </c>
      <c r="F3" t="s">
        <v>173</v>
      </c>
      <c r="G3" t="s">
        <v>16</v>
      </c>
      <c r="H3" t="s">
        <v>15</v>
      </c>
      <c r="I3" t="s">
        <v>174</v>
      </c>
    </row>
    <row r="4" spans="1:9" x14ac:dyDescent="0.25">
      <c r="A4" t="s">
        <v>175</v>
      </c>
      <c r="B4" t="s">
        <v>171</v>
      </c>
      <c r="C4" t="s">
        <v>70</v>
      </c>
      <c r="D4">
        <v>1</v>
      </c>
      <c r="E4">
        <v>0.75</v>
      </c>
      <c r="F4" t="s">
        <v>175</v>
      </c>
      <c r="G4" t="s">
        <v>18</v>
      </c>
      <c r="H4" t="s">
        <v>17</v>
      </c>
      <c r="I4" t="s">
        <v>176</v>
      </c>
    </row>
    <row r="5" spans="1:9" x14ac:dyDescent="0.25">
      <c r="A5" t="s">
        <v>175</v>
      </c>
      <c r="B5" t="s">
        <v>171</v>
      </c>
      <c r="C5" t="s">
        <v>32</v>
      </c>
      <c r="D5">
        <v>1</v>
      </c>
      <c r="E5">
        <v>0.25</v>
      </c>
      <c r="F5" t="s">
        <v>175</v>
      </c>
      <c r="G5" t="s">
        <v>20</v>
      </c>
      <c r="H5" t="s">
        <v>19</v>
      </c>
      <c r="I5" t="s">
        <v>177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10E9-084B-450F-BE9F-7999051DB4C1}">
  <dimension ref="A1:H6"/>
  <sheetViews>
    <sheetView workbookViewId="0"/>
  </sheetViews>
  <sheetFormatPr defaultRowHeight="15" x14ac:dyDescent="0.25"/>
  <cols>
    <col min="1" max="1" width="13.85546875" bestFit="1" customWidth="1"/>
    <col min="2" max="2" width="23.85546875" bestFit="1" customWidth="1"/>
    <col min="3" max="3" width="13.85546875" bestFit="1" customWidth="1"/>
    <col min="4" max="4" width="29.140625" bestFit="1" customWidth="1"/>
    <col min="5" max="5" width="16.42578125" bestFit="1" customWidth="1"/>
    <col min="6" max="6" width="13.85546875" bestFit="1" customWidth="1"/>
    <col min="7" max="7" width="19.85546875" bestFit="1" customWidth="1"/>
    <col min="8" max="8" width="18" bestFit="1" customWidth="1"/>
  </cols>
  <sheetData>
    <row r="1" spans="1:8" x14ac:dyDescent="0.25">
      <c r="A1" t="s">
        <v>183</v>
      </c>
      <c r="B1" t="s">
        <v>184</v>
      </c>
      <c r="C1" t="s">
        <v>163</v>
      </c>
      <c r="D1" t="s">
        <v>185</v>
      </c>
      <c r="E1" t="s">
        <v>186</v>
      </c>
      <c r="F1" t="s">
        <v>14</v>
      </c>
      <c r="G1" t="s">
        <v>168</v>
      </c>
      <c r="H1" t="s">
        <v>169</v>
      </c>
    </row>
    <row r="2" spans="1:8" x14ac:dyDescent="0.25">
      <c r="A2" t="s">
        <v>189</v>
      </c>
      <c r="B2" t="s">
        <v>93</v>
      </c>
      <c r="C2" t="s">
        <v>170</v>
      </c>
      <c r="D2">
        <v>0.5</v>
      </c>
      <c r="E2">
        <v>0.5</v>
      </c>
      <c r="F2" t="s">
        <v>16</v>
      </c>
      <c r="G2" t="s">
        <v>15</v>
      </c>
      <c r="H2" t="s">
        <v>172</v>
      </c>
    </row>
    <row r="3" spans="1:8" x14ac:dyDescent="0.25">
      <c r="A3" t="s">
        <v>201</v>
      </c>
      <c r="B3" t="s">
        <v>103</v>
      </c>
      <c r="C3" t="s">
        <v>170</v>
      </c>
      <c r="D3">
        <v>0.5</v>
      </c>
      <c r="E3">
        <v>0.5</v>
      </c>
      <c r="F3" t="s">
        <v>16</v>
      </c>
      <c r="G3" t="s">
        <v>15</v>
      </c>
      <c r="H3" t="s">
        <v>172</v>
      </c>
    </row>
    <row r="4" spans="1:8" x14ac:dyDescent="0.25">
      <c r="A4" t="s">
        <v>202</v>
      </c>
      <c r="B4" t="s">
        <v>106</v>
      </c>
      <c r="C4" t="s">
        <v>173</v>
      </c>
      <c r="D4">
        <v>1</v>
      </c>
      <c r="E4">
        <v>1</v>
      </c>
      <c r="F4" t="s">
        <v>16</v>
      </c>
      <c r="G4" t="s">
        <v>15</v>
      </c>
      <c r="H4" t="s">
        <v>174</v>
      </c>
    </row>
    <row r="5" spans="1:8" x14ac:dyDescent="0.25">
      <c r="A5" t="s">
        <v>188</v>
      </c>
      <c r="B5" t="s">
        <v>98</v>
      </c>
      <c r="C5" t="s">
        <v>175</v>
      </c>
      <c r="D5">
        <v>0.75</v>
      </c>
      <c r="E5">
        <v>0.75</v>
      </c>
      <c r="F5" t="s">
        <v>18</v>
      </c>
      <c r="G5" t="s">
        <v>17</v>
      </c>
      <c r="H5" t="s">
        <v>176</v>
      </c>
    </row>
    <row r="6" spans="1:8" x14ac:dyDescent="0.25">
      <c r="A6" t="s">
        <v>187</v>
      </c>
      <c r="B6" t="s">
        <v>93</v>
      </c>
      <c r="C6" t="s">
        <v>175</v>
      </c>
      <c r="D6">
        <v>0.25</v>
      </c>
      <c r="E6">
        <v>0.25</v>
      </c>
      <c r="F6" t="s">
        <v>20</v>
      </c>
      <c r="G6" t="s">
        <v>19</v>
      </c>
      <c r="H6" t="s">
        <v>177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/>
  </sheetViews>
  <sheetFormatPr defaultRowHeight="15" x14ac:dyDescent="0.25"/>
  <cols>
    <col min="1" max="1" width="6" customWidth="1"/>
    <col min="2" max="2" width="26" customWidth="1"/>
    <col min="3" max="3" width="12" customWidth="1"/>
  </cols>
  <sheetData>
    <row r="1" spans="1:3" ht="30" x14ac:dyDescent="0.25">
      <c r="A1" s="7" t="s">
        <v>12</v>
      </c>
      <c r="B1" s="7" t="s">
        <v>13</v>
      </c>
      <c r="C1" s="7" t="s">
        <v>14</v>
      </c>
    </row>
    <row r="2" spans="1:3" x14ac:dyDescent="0.25">
      <c r="A2" s="8">
        <v>1</v>
      </c>
      <c r="B2" s="8" t="s">
        <v>15</v>
      </c>
      <c r="C2" s="8" t="s">
        <v>16</v>
      </c>
    </row>
    <row r="3" spans="1:3" x14ac:dyDescent="0.25">
      <c r="A3" s="8">
        <v>2</v>
      </c>
      <c r="B3" s="8" t="s">
        <v>17</v>
      </c>
      <c r="C3" s="8" t="s">
        <v>18</v>
      </c>
    </row>
    <row r="4" spans="1:3" x14ac:dyDescent="0.25">
      <c r="A4" s="8">
        <v>3</v>
      </c>
      <c r="B4" s="8" t="s">
        <v>19</v>
      </c>
      <c r="C4" s="8" t="s">
        <v>20</v>
      </c>
    </row>
    <row r="5" spans="1:3" x14ac:dyDescent="0.25">
      <c r="A5" s="8">
        <v>4</v>
      </c>
      <c r="B5" s="8" t="s">
        <v>21</v>
      </c>
      <c r="C5" s="8" t="s">
        <v>22</v>
      </c>
    </row>
    <row r="6" spans="1:3" x14ac:dyDescent="0.25">
      <c r="A6" s="8">
        <v>5</v>
      </c>
      <c r="B6" s="8" t="s">
        <v>23</v>
      </c>
      <c r="C6" s="8" t="s">
        <v>24</v>
      </c>
    </row>
    <row r="7" spans="1:3" x14ac:dyDescent="0.25">
      <c r="A7" s="8">
        <v>6</v>
      </c>
      <c r="B7" s="8" t="s">
        <v>25</v>
      </c>
      <c r="C7" s="8" t="s">
        <v>26</v>
      </c>
    </row>
  </sheetData>
  <sheetProtection sheet="1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showGridLines="0" workbookViewId="0"/>
  </sheetViews>
  <sheetFormatPr defaultRowHeight="15" x14ac:dyDescent="0.25"/>
  <cols>
    <col min="1" max="1" width="42" customWidth="1"/>
    <col min="2" max="2" width="12" customWidth="1"/>
    <col min="3" max="3" width="10" customWidth="1"/>
    <col min="4" max="4" width="12" customWidth="1"/>
  </cols>
  <sheetData>
    <row r="1" spans="1:4" x14ac:dyDescent="0.25">
      <c r="A1" s="7" t="s">
        <v>27</v>
      </c>
      <c r="B1" s="7" t="s">
        <v>28</v>
      </c>
      <c r="C1" s="7" t="s">
        <v>29</v>
      </c>
      <c r="D1" s="7" t="s">
        <v>30</v>
      </c>
    </row>
    <row r="2" spans="1:4" x14ac:dyDescent="0.25">
      <c r="A2" s="8" t="s">
        <v>31</v>
      </c>
      <c r="B2" s="8" t="s">
        <v>32</v>
      </c>
      <c r="C2" s="8" t="s">
        <v>33</v>
      </c>
      <c r="D2" s="8" t="s">
        <v>34</v>
      </c>
    </row>
    <row r="3" spans="1:4" x14ac:dyDescent="0.25">
      <c r="A3" s="8" t="s">
        <v>35</v>
      </c>
      <c r="B3" s="8" t="s">
        <v>32</v>
      </c>
      <c r="C3" s="8" t="s">
        <v>33</v>
      </c>
      <c r="D3" s="8" t="s">
        <v>34</v>
      </c>
    </row>
    <row r="4" spans="1:4" x14ac:dyDescent="0.25">
      <c r="A4" s="8" t="s">
        <v>36</v>
      </c>
      <c r="B4" s="8" t="s">
        <v>32</v>
      </c>
      <c r="C4" s="8" t="s">
        <v>33</v>
      </c>
      <c r="D4" s="8" t="s">
        <v>34</v>
      </c>
    </row>
    <row r="5" spans="1:4" x14ac:dyDescent="0.25">
      <c r="A5" s="8" t="s">
        <v>37</v>
      </c>
      <c r="B5" s="8" t="s">
        <v>32</v>
      </c>
      <c r="C5" s="8" t="s">
        <v>33</v>
      </c>
      <c r="D5" s="8" t="s">
        <v>34</v>
      </c>
    </row>
    <row r="6" spans="1:4" x14ac:dyDescent="0.25">
      <c r="A6" s="8" t="s">
        <v>38</v>
      </c>
      <c r="B6" s="8" t="s">
        <v>32</v>
      </c>
      <c r="C6" s="8" t="s">
        <v>33</v>
      </c>
      <c r="D6" s="8" t="s">
        <v>34</v>
      </c>
    </row>
    <row r="7" spans="1:4" x14ac:dyDescent="0.25">
      <c r="A7" s="8" t="s">
        <v>39</v>
      </c>
      <c r="B7" s="8" t="s">
        <v>32</v>
      </c>
      <c r="C7" s="8" t="s">
        <v>33</v>
      </c>
      <c r="D7" s="8" t="s">
        <v>34</v>
      </c>
    </row>
    <row r="8" spans="1:4" x14ac:dyDescent="0.25">
      <c r="A8" s="8" t="s">
        <v>40</v>
      </c>
      <c r="B8" s="8" t="s">
        <v>32</v>
      </c>
      <c r="C8" s="8" t="s">
        <v>33</v>
      </c>
      <c r="D8" s="8" t="s">
        <v>34</v>
      </c>
    </row>
    <row r="9" spans="1:4" x14ac:dyDescent="0.25">
      <c r="A9" s="8" t="s">
        <v>41</v>
      </c>
      <c r="B9" s="8" t="s">
        <v>32</v>
      </c>
      <c r="C9" s="8" t="s">
        <v>33</v>
      </c>
      <c r="D9" s="8" t="s">
        <v>34</v>
      </c>
    </row>
    <row r="10" spans="1:4" x14ac:dyDescent="0.25">
      <c r="A10" s="8" t="s">
        <v>42</v>
      </c>
      <c r="B10" s="8" t="s">
        <v>32</v>
      </c>
      <c r="C10" s="8" t="s">
        <v>33</v>
      </c>
      <c r="D10" s="8" t="s">
        <v>34</v>
      </c>
    </row>
    <row r="11" spans="1:4" x14ac:dyDescent="0.25">
      <c r="A11" s="8" t="s">
        <v>43</v>
      </c>
      <c r="B11" s="8" t="s">
        <v>32</v>
      </c>
      <c r="C11" s="8" t="s">
        <v>33</v>
      </c>
      <c r="D11" s="8" t="s">
        <v>34</v>
      </c>
    </row>
    <row r="12" spans="1:4" x14ac:dyDescent="0.25">
      <c r="A12" s="8" t="s">
        <v>44</v>
      </c>
      <c r="B12" s="8" t="s">
        <v>32</v>
      </c>
      <c r="C12" s="8" t="s">
        <v>33</v>
      </c>
      <c r="D12" s="8" t="s">
        <v>34</v>
      </c>
    </row>
    <row r="13" spans="1:4" x14ac:dyDescent="0.25">
      <c r="A13" s="8" t="s">
        <v>45</v>
      </c>
      <c r="B13" s="8" t="s">
        <v>32</v>
      </c>
      <c r="C13" s="8" t="s">
        <v>33</v>
      </c>
      <c r="D13" s="8" t="s">
        <v>34</v>
      </c>
    </row>
    <row r="14" spans="1:4" x14ac:dyDescent="0.25">
      <c r="A14" s="8" t="s">
        <v>46</v>
      </c>
      <c r="B14" s="8" t="s">
        <v>32</v>
      </c>
      <c r="C14" s="8" t="s">
        <v>33</v>
      </c>
      <c r="D14" s="8" t="s">
        <v>34</v>
      </c>
    </row>
    <row r="15" spans="1:4" x14ac:dyDescent="0.25">
      <c r="A15" s="8" t="s">
        <v>47</v>
      </c>
      <c r="B15" s="8" t="s">
        <v>32</v>
      </c>
      <c r="C15" s="8" t="s">
        <v>33</v>
      </c>
      <c r="D15" s="8" t="s">
        <v>34</v>
      </c>
    </row>
    <row r="16" spans="1:4" x14ac:dyDescent="0.25">
      <c r="A16" s="8" t="s">
        <v>48</v>
      </c>
      <c r="B16" s="8" t="s">
        <v>32</v>
      </c>
      <c r="C16" s="8" t="s">
        <v>33</v>
      </c>
      <c r="D16" s="8" t="s">
        <v>34</v>
      </c>
    </row>
    <row r="17" spans="1:4" x14ac:dyDescent="0.25">
      <c r="A17" s="8" t="s">
        <v>49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50</v>
      </c>
      <c r="B18" s="8" t="s">
        <v>32</v>
      </c>
      <c r="C18" s="8" t="s">
        <v>33</v>
      </c>
      <c r="D18" s="8" t="s">
        <v>34</v>
      </c>
    </row>
    <row r="19" spans="1:4" x14ac:dyDescent="0.25">
      <c r="A19" s="8" t="s">
        <v>51</v>
      </c>
      <c r="B19" s="8" t="s">
        <v>52</v>
      </c>
      <c r="C19" s="8" t="s">
        <v>53</v>
      </c>
      <c r="D19" s="8" t="s">
        <v>34</v>
      </c>
    </row>
    <row r="20" spans="1:4" x14ac:dyDescent="0.25">
      <c r="A20" s="8" t="s">
        <v>54</v>
      </c>
      <c r="B20" s="8" t="s">
        <v>52</v>
      </c>
      <c r="C20" s="8" t="s">
        <v>53</v>
      </c>
      <c r="D20" s="8" t="s">
        <v>34</v>
      </c>
    </row>
    <row r="21" spans="1:4" x14ac:dyDescent="0.25">
      <c r="A21" s="8" t="s">
        <v>55</v>
      </c>
      <c r="B21" s="8" t="s">
        <v>52</v>
      </c>
      <c r="C21" s="8" t="s">
        <v>53</v>
      </c>
      <c r="D21" s="8" t="s">
        <v>34</v>
      </c>
    </row>
    <row r="22" spans="1:4" x14ac:dyDescent="0.25">
      <c r="A22" s="8" t="s">
        <v>56</v>
      </c>
      <c r="B22" s="8" t="s">
        <v>52</v>
      </c>
      <c r="C22" s="8" t="s">
        <v>53</v>
      </c>
      <c r="D22" s="8" t="s">
        <v>34</v>
      </c>
    </row>
    <row r="23" spans="1:4" x14ac:dyDescent="0.25">
      <c r="A23" s="8" t="s">
        <v>57</v>
      </c>
      <c r="B23" s="8" t="s">
        <v>52</v>
      </c>
      <c r="C23" s="8" t="s">
        <v>53</v>
      </c>
      <c r="D23" s="8" t="s">
        <v>34</v>
      </c>
    </row>
    <row r="24" spans="1:4" x14ac:dyDescent="0.25">
      <c r="A24" s="8" t="s">
        <v>58</v>
      </c>
      <c r="B24" s="8" t="s">
        <v>52</v>
      </c>
      <c r="C24" s="8" t="s">
        <v>53</v>
      </c>
      <c r="D24" s="8" t="s">
        <v>34</v>
      </c>
    </row>
    <row r="25" spans="1:4" x14ac:dyDescent="0.25">
      <c r="A25" s="8" t="s">
        <v>59</v>
      </c>
      <c r="B25" s="8" t="s">
        <v>52</v>
      </c>
      <c r="C25" s="8" t="s">
        <v>53</v>
      </c>
      <c r="D25" s="8" t="s">
        <v>34</v>
      </c>
    </row>
    <row r="26" spans="1:4" x14ac:dyDescent="0.25">
      <c r="A26" s="8" t="s">
        <v>60</v>
      </c>
      <c r="B26" s="8" t="s">
        <v>52</v>
      </c>
      <c r="C26" s="8" t="s">
        <v>53</v>
      </c>
      <c r="D26" s="8" t="s">
        <v>34</v>
      </c>
    </row>
    <row r="27" spans="1:4" x14ac:dyDescent="0.25">
      <c r="A27" s="8" t="s">
        <v>61</v>
      </c>
      <c r="B27" s="8" t="s">
        <v>52</v>
      </c>
      <c r="C27" s="8" t="s">
        <v>53</v>
      </c>
      <c r="D27" s="8" t="s">
        <v>34</v>
      </c>
    </row>
    <row r="28" spans="1:4" x14ac:dyDescent="0.25">
      <c r="A28" s="8" t="s">
        <v>62</v>
      </c>
      <c r="B28" s="8" t="s">
        <v>52</v>
      </c>
      <c r="C28" s="8" t="s">
        <v>53</v>
      </c>
      <c r="D28" s="8" t="s">
        <v>34</v>
      </c>
    </row>
    <row r="29" spans="1:4" x14ac:dyDescent="0.25">
      <c r="A29" s="8" t="s">
        <v>63</v>
      </c>
      <c r="B29" s="8" t="s">
        <v>52</v>
      </c>
      <c r="C29" s="8" t="s">
        <v>53</v>
      </c>
      <c r="D29" s="8" t="s">
        <v>34</v>
      </c>
    </row>
    <row r="30" spans="1:4" x14ac:dyDescent="0.25">
      <c r="A30" s="8" t="s">
        <v>64</v>
      </c>
      <c r="B30" s="8" t="s">
        <v>52</v>
      </c>
      <c r="C30" s="8" t="s">
        <v>53</v>
      </c>
      <c r="D30" s="8" t="s">
        <v>34</v>
      </c>
    </row>
    <row r="31" spans="1:4" x14ac:dyDescent="0.25">
      <c r="A31" s="8" t="s">
        <v>65</v>
      </c>
      <c r="B31" s="8" t="s">
        <v>52</v>
      </c>
      <c r="C31" s="8" t="s">
        <v>53</v>
      </c>
      <c r="D31" s="8" t="s">
        <v>34</v>
      </c>
    </row>
    <row r="32" spans="1:4" x14ac:dyDescent="0.25">
      <c r="A32" s="8" t="s">
        <v>66</v>
      </c>
      <c r="B32" s="8" t="s">
        <v>52</v>
      </c>
      <c r="C32" s="8" t="s">
        <v>53</v>
      </c>
      <c r="D32" s="8" t="s">
        <v>34</v>
      </c>
    </row>
    <row r="33" spans="1:4" x14ac:dyDescent="0.25">
      <c r="A33" s="8" t="s">
        <v>67</v>
      </c>
      <c r="B33" s="8" t="s">
        <v>52</v>
      </c>
      <c r="C33" s="8" t="s">
        <v>53</v>
      </c>
      <c r="D33" s="8" t="s">
        <v>34</v>
      </c>
    </row>
    <row r="34" spans="1:4" x14ac:dyDescent="0.25">
      <c r="A34" s="8" t="s">
        <v>68</v>
      </c>
      <c r="B34" s="8" t="s">
        <v>52</v>
      </c>
      <c r="C34" s="8" t="s">
        <v>53</v>
      </c>
      <c r="D34" s="8" t="s">
        <v>34</v>
      </c>
    </row>
    <row r="35" spans="1:4" x14ac:dyDescent="0.25">
      <c r="A35" s="8" t="s">
        <v>69</v>
      </c>
      <c r="B35" s="8" t="s">
        <v>70</v>
      </c>
      <c r="C35" s="8" t="s">
        <v>53</v>
      </c>
      <c r="D35" s="8" t="s">
        <v>34</v>
      </c>
    </row>
    <row r="36" spans="1:4" x14ac:dyDescent="0.25">
      <c r="A36" s="8" t="s">
        <v>71</v>
      </c>
      <c r="B36" s="8" t="s">
        <v>70</v>
      </c>
      <c r="C36" s="8" t="s">
        <v>53</v>
      </c>
      <c r="D36" s="8" t="s">
        <v>34</v>
      </c>
    </row>
    <row r="37" spans="1:4" x14ac:dyDescent="0.25">
      <c r="A37" s="8" t="s">
        <v>72</v>
      </c>
      <c r="B37" s="8" t="s">
        <v>70</v>
      </c>
      <c r="C37" s="8" t="s">
        <v>53</v>
      </c>
      <c r="D37" s="8" t="s">
        <v>34</v>
      </c>
    </row>
    <row r="38" spans="1:4" x14ac:dyDescent="0.25">
      <c r="A38" s="8" t="s">
        <v>73</v>
      </c>
      <c r="B38" s="8" t="s">
        <v>70</v>
      </c>
      <c r="C38" s="8" t="s">
        <v>53</v>
      </c>
      <c r="D38" s="8" t="s">
        <v>34</v>
      </c>
    </row>
    <row r="39" spans="1:4" x14ac:dyDescent="0.25">
      <c r="A39" s="8" t="s">
        <v>74</v>
      </c>
      <c r="B39" s="8" t="s">
        <v>70</v>
      </c>
      <c r="C39" s="8" t="s">
        <v>53</v>
      </c>
      <c r="D39" s="8" t="s">
        <v>34</v>
      </c>
    </row>
    <row r="40" spans="1:4" x14ac:dyDescent="0.25">
      <c r="A40" s="8" t="s">
        <v>75</v>
      </c>
      <c r="B40" s="8" t="s">
        <v>70</v>
      </c>
      <c r="C40" s="8" t="s">
        <v>53</v>
      </c>
      <c r="D40" s="8" t="s">
        <v>34</v>
      </c>
    </row>
    <row r="41" spans="1:4" x14ac:dyDescent="0.25">
      <c r="A41" s="8" t="s">
        <v>76</v>
      </c>
      <c r="B41" s="8" t="s">
        <v>70</v>
      </c>
      <c r="C41" s="8" t="s">
        <v>53</v>
      </c>
      <c r="D41" s="8" t="s">
        <v>34</v>
      </c>
    </row>
    <row r="42" spans="1:4" x14ac:dyDescent="0.25">
      <c r="A42" s="8" t="s">
        <v>77</v>
      </c>
      <c r="B42" s="8" t="s">
        <v>70</v>
      </c>
      <c r="C42" s="8" t="s">
        <v>53</v>
      </c>
      <c r="D42" s="8" t="s">
        <v>34</v>
      </c>
    </row>
    <row r="43" spans="1:4" x14ac:dyDescent="0.25">
      <c r="A43" s="8" t="s">
        <v>78</v>
      </c>
      <c r="B43" s="8" t="s">
        <v>70</v>
      </c>
      <c r="C43" s="8" t="s">
        <v>53</v>
      </c>
      <c r="D43" s="8" t="s">
        <v>34</v>
      </c>
    </row>
    <row r="44" spans="1:4" x14ac:dyDescent="0.25">
      <c r="A44" s="8" t="s">
        <v>79</v>
      </c>
      <c r="B44" s="8" t="s">
        <v>70</v>
      </c>
      <c r="C44" s="8" t="s">
        <v>53</v>
      </c>
      <c r="D44" s="8" t="s">
        <v>34</v>
      </c>
    </row>
    <row r="45" spans="1:4" x14ac:dyDescent="0.25">
      <c r="A45" s="8" t="s">
        <v>80</v>
      </c>
      <c r="B45" s="8" t="s">
        <v>70</v>
      </c>
      <c r="C45" s="8" t="s">
        <v>53</v>
      </c>
      <c r="D45" s="8" t="s">
        <v>34</v>
      </c>
    </row>
    <row r="46" spans="1:4" x14ac:dyDescent="0.25">
      <c r="A46" s="8" t="s">
        <v>81</v>
      </c>
      <c r="B46" s="8" t="s">
        <v>70</v>
      </c>
      <c r="C46" s="8" t="s">
        <v>53</v>
      </c>
      <c r="D46" s="8" t="s">
        <v>34</v>
      </c>
    </row>
    <row r="47" spans="1:4" x14ac:dyDescent="0.25">
      <c r="A47" s="8" t="s">
        <v>82</v>
      </c>
      <c r="B47" s="8" t="s">
        <v>70</v>
      </c>
      <c r="C47" s="8" t="s">
        <v>53</v>
      </c>
      <c r="D47" s="8" t="s">
        <v>34</v>
      </c>
    </row>
    <row r="48" spans="1:4" x14ac:dyDescent="0.25">
      <c r="A48" s="8" t="s">
        <v>83</v>
      </c>
      <c r="B48" s="8" t="s">
        <v>70</v>
      </c>
      <c r="C48" s="8" t="s">
        <v>53</v>
      </c>
      <c r="D48" s="8" t="s">
        <v>34</v>
      </c>
    </row>
    <row r="49" spans="1:4" x14ac:dyDescent="0.25">
      <c r="A49" s="8" t="s">
        <v>84</v>
      </c>
      <c r="B49" s="8" t="s">
        <v>70</v>
      </c>
      <c r="C49" s="8" t="s">
        <v>53</v>
      </c>
      <c r="D49" s="8" t="s">
        <v>34</v>
      </c>
    </row>
    <row r="50" spans="1:4" x14ac:dyDescent="0.25">
      <c r="A50" s="8" t="s">
        <v>85</v>
      </c>
      <c r="B50" s="8" t="s">
        <v>70</v>
      </c>
      <c r="C50" s="8" t="s">
        <v>53</v>
      </c>
      <c r="D50" s="8" t="s">
        <v>34</v>
      </c>
    </row>
    <row r="51" spans="1:4" x14ac:dyDescent="0.25">
      <c r="A51" s="8" t="s">
        <v>86</v>
      </c>
      <c r="B51" s="8" t="s">
        <v>32</v>
      </c>
      <c r="C51" s="8" t="s">
        <v>33</v>
      </c>
      <c r="D51" s="8" t="s">
        <v>34</v>
      </c>
    </row>
  </sheetData>
  <sheetProtection sheet="1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showGridLines="0" workbookViewId="0"/>
  </sheetViews>
  <sheetFormatPr defaultRowHeight="15" x14ac:dyDescent="0.25"/>
  <cols>
    <col min="1" max="2" width="16" customWidth="1"/>
    <col min="3" max="4" width="26" customWidth="1"/>
  </cols>
  <sheetData>
    <row r="1" spans="1:4" x14ac:dyDescent="0.25">
      <c r="A1" s="5" t="s">
        <v>87</v>
      </c>
      <c r="B1" s="5" t="s">
        <v>88</v>
      </c>
      <c r="C1" s="5" t="s">
        <v>89</v>
      </c>
      <c r="D1" s="5" t="s">
        <v>90</v>
      </c>
    </row>
    <row r="2" spans="1:4" x14ac:dyDescent="0.25">
      <c r="A2" s="8" t="s">
        <v>91</v>
      </c>
      <c r="B2" s="8" t="s">
        <v>92</v>
      </c>
      <c r="C2" s="8" t="s">
        <v>93</v>
      </c>
      <c r="D2" s="8" t="str">
        <f t="shared" ref="D2:D33" si="0">A2&amp;" "&amp;B2</f>
        <v>Kevin Johnson</v>
      </c>
    </row>
    <row r="3" spans="1:4" x14ac:dyDescent="0.25">
      <c r="A3" s="8" t="s">
        <v>94</v>
      </c>
      <c r="B3" s="8" t="s">
        <v>95</v>
      </c>
      <c r="C3" s="8" t="s">
        <v>96</v>
      </c>
      <c r="D3" s="8" t="str">
        <f t="shared" si="0"/>
        <v>John Brown</v>
      </c>
    </row>
    <row r="4" spans="1:4" x14ac:dyDescent="0.25">
      <c r="A4" s="8" t="s">
        <v>97</v>
      </c>
      <c r="B4" s="8" t="s">
        <v>92</v>
      </c>
      <c r="C4" s="8" t="s">
        <v>98</v>
      </c>
      <c r="D4" s="8" t="str">
        <f t="shared" si="0"/>
        <v>Chen Johnson</v>
      </c>
    </row>
    <row r="5" spans="1:4" x14ac:dyDescent="0.25">
      <c r="A5" s="8" t="s">
        <v>99</v>
      </c>
      <c r="B5" s="8" t="s">
        <v>100</v>
      </c>
      <c r="C5" s="8" t="s">
        <v>93</v>
      </c>
      <c r="D5" s="8" t="str">
        <f t="shared" si="0"/>
        <v>Thomas Kowalski</v>
      </c>
    </row>
    <row r="6" spans="1:4" x14ac:dyDescent="0.25">
      <c r="A6" s="8" t="s">
        <v>101</v>
      </c>
      <c r="B6" s="8" t="s">
        <v>97</v>
      </c>
      <c r="C6" s="8" t="s">
        <v>93</v>
      </c>
      <c r="D6" s="8" t="str">
        <f t="shared" si="0"/>
        <v>Emma Chen</v>
      </c>
    </row>
    <row r="7" spans="1:4" x14ac:dyDescent="0.25">
      <c r="A7" s="8" t="s">
        <v>102</v>
      </c>
      <c r="B7" s="8" t="s">
        <v>95</v>
      </c>
      <c r="C7" s="8" t="s">
        <v>103</v>
      </c>
      <c r="D7" s="8" t="str">
        <f t="shared" si="0"/>
        <v>Wei Brown</v>
      </c>
    </row>
    <row r="8" spans="1:4" x14ac:dyDescent="0.25">
      <c r="A8" s="8" t="s">
        <v>104</v>
      </c>
      <c r="B8" s="8" t="s">
        <v>100</v>
      </c>
      <c r="C8" s="8" t="s">
        <v>96</v>
      </c>
      <c r="D8" s="8" t="str">
        <f t="shared" si="0"/>
        <v>James Kowalski</v>
      </c>
    </row>
    <row r="9" spans="1:4" x14ac:dyDescent="0.25">
      <c r="A9" s="8" t="s">
        <v>91</v>
      </c>
      <c r="B9" s="8" t="s">
        <v>105</v>
      </c>
      <c r="C9" s="8" t="s">
        <v>106</v>
      </c>
      <c r="D9" s="8" t="str">
        <f t="shared" si="0"/>
        <v>Kevin Haddad</v>
      </c>
    </row>
    <row r="10" spans="1:4" x14ac:dyDescent="0.25">
      <c r="A10" s="8" t="s">
        <v>107</v>
      </c>
      <c r="B10" s="8" t="s">
        <v>108</v>
      </c>
      <c r="C10" s="8" t="s">
        <v>106</v>
      </c>
      <c r="D10" s="8" t="str">
        <f t="shared" si="0"/>
        <v>Fatima Dubois</v>
      </c>
    </row>
    <row r="11" spans="1:4" x14ac:dyDescent="0.25">
      <c r="A11" s="8" t="s">
        <v>109</v>
      </c>
      <c r="B11" s="8" t="s">
        <v>110</v>
      </c>
      <c r="C11" s="8" t="s">
        <v>93</v>
      </c>
      <c r="D11" s="8" t="str">
        <f t="shared" si="0"/>
        <v>Grace Osei</v>
      </c>
    </row>
    <row r="12" spans="1:4" x14ac:dyDescent="0.25">
      <c r="A12" s="8" t="s">
        <v>109</v>
      </c>
      <c r="B12" s="8" t="s">
        <v>111</v>
      </c>
      <c r="C12" s="8" t="s">
        <v>98</v>
      </c>
      <c r="D12" s="8" t="str">
        <f t="shared" si="0"/>
        <v>Grace Kim</v>
      </c>
    </row>
    <row r="13" spans="1:4" x14ac:dyDescent="0.25">
      <c r="A13" s="8" t="s">
        <v>112</v>
      </c>
      <c r="B13" s="8" t="s">
        <v>113</v>
      </c>
      <c r="C13" s="8" t="s">
        <v>114</v>
      </c>
      <c r="D13" s="8" t="str">
        <f t="shared" si="0"/>
        <v>Carlos Singh</v>
      </c>
    </row>
    <row r="14" spans="1:4" x14ac:dyDescent="0.25">
      <c r="A14" s="8" t="s">
        <v>115</v>
      </c>
      <c r="B14" s="8" t="s">
        <v>116</v>
      </c>
      <c r="C14" s="8" t="s">
        <v>93</v>
      </c>
      <c r="D14" s="8" t="str">
        <f t="shared" si="0"/>
        <v>Ibrahim Lee</v>
      </c>
    </row>
    <row r="15" spans="1:4" x14ac:dyDescent="0.25">
      <c r="A15" s="8" t="s">
        <v>117</v>
      </c>
      <c r="B15" s="8" t="s">
        <v>92</v>
      </c>
      <c r="C15" s="8" t="s">
        <v>118</v>
      </c>
      <c r="D15" s="8" t="str">
        <f t="shared" si="0"/>
        <v>Robert Johnson</v>
      </c>
    </row>
    <row r="16" spans="1:4" x14ac:dyDescent="0.25">
      <c r="A16" s="8" t="s">
        <v>119</v>
      </c>
      <c r="B16" s="8" t="s">
        <v>120</v>
      </c>
      <c r="C16" s="8" t="s">
        <v>96</v>
      </c>
      <c r="D16" s="8" t="str">
        <f t="shared" si="0"/>
        <v>Aisha Novak</v>
      </c>
    </row>
    <row r="17" spans="1:4" x14ac:dyDescent="0.25">
      <c r="A17" s="8" t="s">
        <v>121</v>
      </c>
      <c r="B17" s="8" t="s">
        <v>122</v>
      </c>
      <c r="C17" s="8" t="s">
        <v>103</v>
      </c>
      <c r="D17" s="8" t="str">
        <f t="shared" si="0"/>
        <v>Maria Ivanov</v>
      </c>
    </row>
    <row r="18" spans="1:4" x14ac:dyDescent="0.25">
      <c r="A18" s="8" t="s">
        <v>123</v>
      </c>
      <c r="B18" s="8" t="s">
        <v>124</v>
      </c>
      <c r="C18" s="8" t="s">
        <v>118</v>
      </c>
      <c r="D18" s="8" t="str">
        <f t="shared" si="0"/>
        <v>Sarah Fischer</v>
      </c>
    </row>
    <row r="19" spans="1:4" x14ac:dyDescent="0.25">
      <c r="A19" s="8" t="s">
        <v>125</v>
      </c>
      <c r="B19" s="8" t="s">
        <v>126</v>
      </c>
      <c r="C19" s="8" t="s">
        <v>127</v>
      </c>
      <c r="D19" s="8" t="str">
        <f t="shared" si="0"/>
        <v>Yuki Martin</v>
      </c>
    </row>
    <row r="20" spans="1:4" x14ac:dyDescent="0.25">
      <c r="A20" s="8" t="s">
        <v>128</v>
      </c>
      <c r="B20" s="8" t="s">
        <v>129</v>
      </c>
      <c r="C20" s="8" t="s">
        <v>130</v>
      </c>
      <c r="D20" s="8" t="str">
        <f t="shared" si="0"/>
        <v>Laura Tanaka</v>
      </c>
    </row>
    <row r="21" spans="1:4" x14ac:dyDescent="0.25">
      <c r="A21" s="8" t="s">
        <v>131</v>
      </c>
      <c r="B21" s="8" t="s">
        <v>132</v>
      </c>
      <c r="C21" s="8" t="s">
        <v>98</v>
      </c>
      <c r="D21" s="8" t="str">
        <f t="shared" si="0"/>
        <v>Omar Nguyen</v>
      </c>
    </row>
    <row r="22" spans="1:4" x14ac:dyDescent="0.25">
      <c r="A22" s="8" t="s">
        <v>121</v>
      </c>
      <c r="B22" s="8" t="s">
        <v>133</v>
      </c>
      <c r="C22" s="8" t="s">
        <v>96</v>
      </c>
      <c r="D22" s="8" t="str">
        <f t="shared" si="0"/>
        <v>Maria Murphy</v>
      </c>
    </row>
    <row r="23" spans="1:4" x14ac:dyDescent="0.25">
      <c r="A23" s="8" t="s">
        <v>134</v>
      </c>
      <c r="B23" s="8" t="s">
        <v>135</v>
      </c>
      <c r="C23" s="8" t="s">
        <v>130</v>
      </c>
      <c r="D23" s="8" t="str">
        <f t="shared" si="0"/>
        <v>Anna Patel</v>
      </c>
    </row>
    <row r="24" spans="1:4" x14ac:dyDescent="0.25">
      <c r="A24" s="8" t="s">
        <v>136</v>
      </c>
      <c r="B24" s="8" t="s">
        <v>92</v>
      </c>
      <c r="C24" s="8" t="s">
        <v>118</v>
      </c>
      <c r="D24" s="8" t="str">
        <f t="shared" si="0"/>
        <v>Leila Johnson</v>
      </c>
    </row>
    <row r="25" spans="1:4" x14ac:dyDescent="0.25">
      <c r="A25" s="8" t="s">
        <v>137</v>
      </c>
      <c r="B25" s="8" t="s">
        <v>138</v>
      </c>
      <c r="C25" s="8" t="s">
        <v>127</v>
      </c>
      <c r="D25" s="8" t="str">
        <f t="shared" si="0"/>
        <v>Ahmed Cohen</v>
      </c>
    </row>
    <row r="26" spans="1:4" x14ac:dyDescent="0.25">
      <c r="A26" s="8" t="s">
        <v>139</v>
      </c>
      <c r="B26" s="8" t="s">
        <v>140</v>
      </c>
      <c r="C26" s="8" t="s">
        <v>118</v>
      </c>
      <c r="D26" s="8" t="str">
        <f t="shared" si="0"/>
        <v>Priya Khan</v>
      </c>
    </row>
    <row r="27" spans="1:4" x14ac:dyDescent="0.25">
      <c r="A27" s="8" t="s">
        <v>141</v>
      </c>
      <c r="B27" s="8" t="s">
        <v>113</v>
      </c>
      <c r="C27" s="8" t="s">
        <v>98</v>
      </c>
      <c r="D27" s="8" t="str">
        <f t="shared" si="0"/>
        <v>Nadia Singh</v>
      </c>
    </row>
    <row r="28" spans="1:4" x14ac:dyDescent="0.25">
      <c r="A28" s="8" t="s">
        <v>141</v>
      </c>
      <c r="B28" s="8" t="s">
        <v>138</v>
      </c>
      <c r="C28" s="8" t="s">
        <v>93</v>
      </c>
      <c r="D28" s="8" t="str">
        <f t="shared" si="0"/>
        <v>Nadia Cohen</v>
      </c>
    </row>
    <row r="29" spans="1:4" x14ac:dyDescent="0.25">
      <c r="A29" s="8" t="s">
        <v>91</v>
      </c>
      <c r="B29" s="8" t="s">
        <v>111</v>
      </c>
      <c r="C29" s="8" t="s">
        <v>103</v>
      </c>
      <c r="D29" s="8" t="str">
        <f t="shared" si="0"/>
        <v>Kevin Kim</v>
      </c>
    </row>
    <row r="30" spans="1:4" x14ac:dyDescent="0.25">
      <c r="A30" s="8" t="s">
        <v>107</v>
      </c>
      <c r="B30" s="8" t="s">
        <v>111</v>
      </c>
      <c r="C30" s="8" t="s">
        <v>103</v>
      </c>
      <c r="D30" s="8" t="str">
        <f t="shared" si="0"/>
        <v>Fatima Kim</v>
      </c>
    </row>
    <row r="31" spans="1:4" x14ac:dyDescent="0.25">
      <c r="A31" s="8" t="s">
        <v>94</v>
      </c>
      <c r="B31" s="8" t="s">
        <v>124</v>
      </c>
      <c r="C31" s="8" t="s">
        <v>106</v>
      </c>
      <c r="D31" s="8" t="str">
        <f t="shared" si="0"/>
        <v>John Fischer</v>
      </c>
    </row>
    <row r="32" spans="1:4" x14ac:dyDescent="0.25">
      <c r="A32" s="8" t="s">
        <v>125</v>
      </c>
      <c r="B32" s="8" t="s">
        <v>95</v>
      </c>
      <c r="C32" s="8" t="s">
        <v>98</v>
      </c>
      <c r="D32" s="8" t="str">
        <f t="shared" si="0"/>
        <v>Yuki Brown</v>
      </c>
    </row>
    <row r="33" spans="1:4" x14ac:dyDescent="0.25">
      <c r="A33" s="8" t="s">
        <v>142</v>
      </c>
      <c r="B33" s="8" t="s">
        <v>143</v>
      </c>
      <c r="C33" s="8" t="s">
        <v>144</v>
      </c>
      <c r="D33" s="8" t="str">
        <f t="shared" si="0"/>
        <v>Marc Costa</v>
      </c>
    </row>
    <row r="34" spans="1:4" x14ac:dyDescent="0.25">
      <c r="A34" s="8" t="s">
        <v>107</v>
      </c>
      <c r="B34" s="8" t="s">
        <v>145</v>
      </c>
      <c r="C34" s="8" t="s">
        <v>93</v>
      </c>
      <c r="D34" s="8" t="str">
        <f t="shared" ref="D34:D65" si="1">A34&amp;" "&amp;B34</f>
        <v>Fatima Petit</v>
      </c>
    </row>
    <row r="35" spans="1:4" x14ac:dyDescent="0.25">
      <c r="A35" s="8" t="s">
        <v>112</v>
      </c>
      <c r="B35" s="8" t="s">
        <v>146</v>
      </c>
      <c r="C35" s="8" t="s">
        <v>96</v>
      </c>
      <c r="D35" s="8" t="str">
        <f t="shared" si="1"/>
        <v>Carlos Wilson</v>
      </c>
    </row>
    <row r="36" spans="1:4" x14ac:dyDescent="0.25">
      <c r="A36" s="8" t="s">
        <v>102</v>
      </c>
      <c r="B36" s="8" t="s">
        <v>124</v>
      </c>
      <c r="C36" s="8" t="s">
        <v>147</v>
      </c>
      <c r="D36" s="8" t="str">
        <f t="shared" si="1"/>
        <v>Wei Fischer</v>
      </c>
    </row>
    <row r="37" spans="1:4" x14ac:dyDescent="0.25">
      <c r="A37" s="8" t="s">
        <v>99</v>
      </c>
      <c r="B37" s="8" t="s">
        <v>105</v>
      </c>
      <c r="C37" s="8" t="s">
        <v>118</v>
      </c>
      <c r="D37" s="8" t="str">
        <f t="shared" si="1"/>
        <v>Thomas Haddad</v>
      </c>
    </row>
    <row r="38" spans="1:4" x14ac:dyDescent="0.25">
      <c r="A38" s="8" t="s">
        <v>91</v>
      </c>
      <c r="B38" s="8" t="s">
        <v>148</v>
      </c>
      <c r="C38" s="8" t="s">
        <v>149</v>
      </c>
      <c r="D38" s="8" t="str">
        <f t="shared" si="1"/>
        <v>Kevin Andersson</v>
      </c>
    </row>
    <row r="39" spans="1:4" x14ac:dyDescent="0.25">
      <c r="A39" s="8" t="s">
        <v>150</v>
      </c>
      <c r="B39" s="8" t="s">
        <v>138</v>
      </c>
      <c r="C39" s="8" t="s">
        <v>103</v>
      </c>
      <c r="D39" s="8" t="str">
        <f t="shared" si="1"/>
        <v>Elena Cohen</v>
      </c>
    </row>
    <row r="40" spans="1:4" x14ac:dyDescent="0.25">
      <c r="A40" s="8" t="s">
        <v>94</v>
      </c>
      <c r="B40" s="8" t="s">
        <v>151</v>
      </c>
      <c r="C40" s="8" t="s">
        <v>96</v>
      </c>
      <c r="D40" s="8" t="str">
        <f t="shared" si="1"/>
        <v>John Garcia</v>
      </c>
    </row>
    <row r="41" spans="1:4" x14ac:dyDescent="0.25">
      <c r="A41" s="8" t="s">
        <v>125</v>
      </c>
      <c r="B41" s="8" t="s">
        <v>100</v>
      </c>
      <c r="C41" s="8" t="s">
        <v>96</v>
      </c>
      <c r="D41" s="8" t="str">
        <f t="shared" si="1"/>
        <v>Yuki Kowalski</v>
      </c>
    </row>
    <row r="42" spans="1:4" x14ac:dyDescent="0.25">
      <c r="A42" s="8" t="s">
        <v>131</v>
      </c>
      <c r="B42" s="8" t="s">
        <v>152</v>
      </c>
      <c r="C42" s="8" t="s">
        <v>130</v>
      </c>
      <c r="D42" s="8" t="str">
        <f t="shared" si="1"/>
        <v>Omar Rossi</v>
      </c>
    </row>
    <row r="43" spans="1:4" x14ac:dyDescent="0.25">
      <c r="A43" s="8" t="s">
        <v>117</v>
      </c>
      <c r="B43" s="8" t="s">
        <v>140</v>
      </c>
      <c r="C43" s="8" t="s">
        <v>96</v>
      </c>
      <c r="D43" s="8" t="str">
        <f t="shared" si="1"/>
        <v>Robert Khan</v>
      </c>
    </row>
    <row r="44" spans="1:4" x14ac:dyDescent="0.25">
      <c r="A44" s="8" t="s">
        <v>153</v>
      </c>
      <c r="B44" s="8" t="s">
        <v>154</v>
      </c>
      <c r="C44" s="8" t="s">
        <v>103</v>
      </c>
      <c r="D44" s="8" t="str">
        <f t="shared" si="1"/>
        <v>Michael Silva</v>
      </c>
    </row>
    <row r="45" spans="1:4" x14ac:dyDescent="0.25">
      <c r="A45" s="8" t="s">
        <v>115</v>
      </c>
      <c r="B45" s="8" t="s">
        <v>97</v>
      </c>
      <c r="C45" s="8" t="s">
        <v>130</v>
      </c>
      <c r="D45" s="8" t="str">
        <f t="shared" si="1"/>
        <v>Ibrahim Chen</v>
      </c>
    </row>
    <row r="46" spans="1:4" x14ac:dyDescent="0.25">
      <c r="A46" s="8" t="s">
        <v>153</v>
      </c>
      <c r="B46" s="8" t="s">
        <v>138</v>
      </c>
      <c r="C46" s="8" t="s">
        <v>114</v>
      </c>
      <c r="D46" s="8" t="str">
        <f t="shared" si="1"/>
        <v>Michael Cohen</v>
      </c>
    </row>
    <row r="47" spans="1:4" x14ac:dyDescent="0.25">
      <c r="A47" s="8" t="s">
        <v>141</v>
      </c>
      <c r="B47" s="8" t="s">
        <v>152</v>
      </c>
      <c r="C47" s="8" t="s">
        <v>106</v>
      </c>
      <c r="D47" s="8" t="str">
        <f t="shared" si="1"/>
        <v>Nadia Rossi</v>
      </c>
    </row>
    <row r="48" spans="1:4" x14ac:dyDescent="0.25">
      <c r="A48" s="8" t="s">
        <v>117</v>
      </c>
      <c r="B48" s="8" t="s">
        <v>146</v>
      </c>
      <c r="C48" s="8" t="s">
        <v>106</v>
      </c>
      <c r="D48" s="8" t="str">
        <f t="shared" si="1"/>
        <v>Robert Wilson</v>
      </c>
    </row>
    <row r="49" spans="1:4" x14ac:dyDescent="0.25">
      <c r="A49" s="8" t="s">
        <v>137</v>
      </c>
      <c r="B49" s="8" t="s">
        <v>154</v>
      </c>
      <c r="C49" s="8" t="s">
        <v>96</v>
      </c>
      <c r="D49" s="8" t="str">
        <f t="shared" si="1"/>
        <v>Ahmed Silva</v>
      </c>
    </row>
    <row r="50" spans="1:4" x14ac:dyDescent="0.25">
      <c r="A50" s="8" t="s">
        <v>125</v>
      </c>
      <c r="B50" s="8" t="s">
        <v>110</v>
      </c>
      <c r="C50" s="8" t="s">
        <v>147</v>
      </c>
      <c r="D50" s="8" t="str">
        <f t="shared" si="1"/>
        <v>Yuki Osei</v>
      </c>
    </row>
    <row r="51" spans="1:4" x14ac:dyDescent="0.25">
      <c r="A51" s="8" t="s">
        <v>141</v>
      </c>
      <c r="B51" s="8" t="s">
        <v>122</v>
      </c>
      <c r="C51" s="8" t="s">
        <v>93</v>
      </c>
      <c r="D51" s="8" t="str">
        <f t="shared" si="1"/>
        <v>Nadia Ivanov</v>
      </c>
    </row>
    <row r="52" spans="1:4" x14ac:dyDescent="0.25">
      <c r="A52" s="8" t="s">
        <v>115</v>
      </c>
      <c r="B52" s="8" t="s">
        <v>113</v>
      </c>
      <c r="C52" s="8" t="s">
        <v>144</v>
      </c>
      <c r="D52" s="8" t="str">
        <f t="shared" si="1"/>
        <v>Ibrahim Singh</v>
      </c>
    </row>
    <row r="53" spans="1:4" x14ac:dyDescent="0.25">
      <c r="A53" s="8" t="s">
        <v>112</v>
      </c>
      <c r="B53" s="8" t="s">
        <v>92</v>
      </c>
      <c r="C53" s="8" t="s">
        <v>96</v>
      </c>
      <c r="D53" s="8" t="str">
        <f t="shared" si="1"/>
        <v>Carlos Johnson</v>
      </c>
    </row>
    <row r="54" spans="1:4" x14ac:dyDescent="0.25">
      <c r="A54" s="8" t="s">
        <v>139</v>
      </c>
      <c r="B54" s="8" t="s">
        <v>108</v>
      </c>
      <c r="C54" s="8" t="s">
        <v>93</v>
      </c>
      <c r="D54" s="8" t="str">
        <f t="shared" si="1"/>
        <v>Priya Dubois</v>
      </c>
    </row>
    <row r="55" spans="1:4" x14ac:dyDescent="0.25">
      <c r="A55" s="8" t="s">
        <v>97</v>
      </c>
      <c r="B55" s="8" t="s">
        <v>129</v>
      </c>
      <c r="C55" s="8" t="s">
        <v>98</v>
      </c>
      <c r="D55" s="8" t="str">
        <f t="shared" si="1"/>
        <v>Chen Tanaka</v>
      </c>
    </row>
    <row r="56" spans="1:4" x14ac:dyDescent="0.25">
      <c r="A56" s="8" t="s">
        <v>155</v>
      </c>
      <c r="B56" s="8" t="s">
        <v>143</v>
      </c>
      <c r="C56" s="8" t="s">
        <v>114</v>
      </c>
      <c r="D56" s="8" t="str">
        <f t="shared" si="1"/>
        <v>Daniel Costa</v>
      </c>
    </row>
    <row r="57" spans="1:4" x14ac:dyDescent="0.25">
      <c r="A57" s="8" t="s">
        <v>150</v>
      </c>
      <c r="B57" s="8" t="s">
        <v>92</v>
      </c>
      <c r="C57" s="8" t="s">
        <v>130</v>
      </c>
      <c r="D57" s="8" t="str">
        <f t="shared" si="1"/>
        <v>Elena Johnson</v>
      </c>
    </row>
    <row r="58" spans="1:4" x14ac:dyDescent="0.25">
      <c r="A58" s="8" t="s">
        <v>134</v>
      </c>
      <c r="B58" s="8" t="s">
        <v>145</v>
      </c>
      <c r="C58" s="8" t="s">
        <v>106</v>
      </c>
      <c r="D58" s="8" t="str">
        <f t="shared" si="1"/>
        <v>Anna Petit</v>
      </c>
    </row>
    <row r="59" spans="1:4" x14ac:dyDescent="0.25">
      <c r="A59" s="8" t="s">
        <v>128</v>
      </c>
      <c r="B59" s="8" t="s">
        <v>132</v>
      </c>
      <c r="C59" s="8" t="s">
        <v>114</v>
      </c>
      <c r="D59" s="8" t="str">
        <f t="shared" si="1"/>
        <v>Laura Nguyen</v>
      </c>
    </row>
    <row r="60" spans="1:4" x14ac:dyDescent="0.25">
      <c r="A60" s="8" t="s">
        <v>115</v>
      </c>
      <c r="B60" s="8" t="s">
        <v>111</v>
      </c>
      <c r="C60" s="8" t="s">
        <v>106</v>
      </c>
      <c r="D60" s="8" t="str">
        <f t="shared" si="1"/>
        <v>Ibrahim Kim</v>
      </c>
    </row>
    <row r="61" spans="1:4" x14ac:dyDescent="0.25">
      <c r="A61" s="8" t="s">
        <v>115</v>
      </c>
      <c r="B61" s="8" t="s">
        <v>124</v>
      </c>
      <c r="C61" s="8" t="s">
        <v>103</v>
      </c>
      <c r="D61" s="8" t="str">
        <f t="shared" si="1"/>
        <v>Ibrahim Fischer</v>
      </c>
    </row>
    <row r="62" spans="1:4" x14ac:dyDescent="0.25">
      <c r="A62" s="8" t="s">
        <v>104</v>
      </c>
      <c r="B62" s="8" t="s">
        <v>120</v>
      </c>
      <c r="C62" s="8" t="s">
        <v>118</v>
      </c>
      <c r="D62" s="8" t="str">
        <f t="shared" si="1"/>
        <v>James Novak</v>
      </c>
    </row>
    <row r="63" spans="1:4" x14ac:dyDescent="0.25">
      <c r="A63" s="8" t="s">
        <v>104</v>
      </c>
      <c r="B63" s="8" t="s">
        <v>92</v>
      </c>
      <c r="C63" s="8" t="s">
        <v>147</v>
      </c>
      <c r="D63" s="8" t="str">
        <f t="shared" si="1"/>
        <v>James Johnson</v>
      </c>
    </row>
    <row r="64" spans="1:4" x14ac:dyDescent="0.25">
      <c r="A64" s="8" t="s">
        <v>99</v>
      </c>
      <c r="B64" s="8" t="s">
        <v>145</v>
      </c>
      <c r="C64" s="8" t="s">
        <v>144</v>
      </c>
      <c r="D64" s="8" t="str">
        <f t="shared" si="1"/>
        <v>Thomas Petit</v>
      </c>
    </row>
    <row r="65" spans="1:4" x14ac:dyDescent="0.25">
      <c r="A65" s="8" t="s">
        <v>107</v>
      </c>
      <c r="B65" s="8" t="s">
        <v>97</v>
      </c>
      <c r="C65" s="8" t="s">
        <v>96</v>
      </c>
      <c r="D65" s="8" t="str">
        <f t="shared" si="1"/>
        <v>Fatima Chen</v>
      </c>
    </row>
    <row r="66" spans="1:4" x14ac:dyDescent="0.25">
      <c r="A66" s="8" t="s">
        <v>131</v>
      </c>
      <c r="B66" s="8" t="s">
        <v>135</v>
      </c>
      <c r="C66" s="8" t="s">
        <v>93</v>
      </c>
      <c r="D66" s="8" t="str">
        <f t="shared" ref="D66:D101" si="2">A66&amp;" "&amp;B66</f>
        <v>Omar Patel</v>
      </c>
    </row>
    <row r="67" spans="1:4" x14ac:dyDescent="0.25">
      <c r="A67" s="8" t="s">
        <v>156</v>
      </c>
      <c r="B67" s="8" t="s">
        <v>145</v>
      </c>
      <c r="C67" s="8" t="s">
        <v>93</v>
      </c>
      <c r="D67" s="8" t="str">
        <f t="shared" si="2"/>
        <v>Sophie Petit</v>
      </c>
    </row>
    <row r="68" spans="1:4" x14ac:dyDescent="0.25">
      <c r="A68" s="8" t="s">
        <v>115</v>
      </c>
      <c r="B68" s="8" t="s">
        <v>100</v>
      </c>
      <c r="C68" s="8" t="s">
        <v>144</v>
      </c>
      <c r="D68" s="8" t="str">
        <f t="shared" si="2"/>
        <v>Ibrahim Kowalski</v>
      </c>
    </row>
    <row r="69" spans="1:4" x14ac:dyDescent="0.25">
      <c r="A69" s="8" t="s">
        <v>153</v>
      </c>
      <c r="B69" s="8" t="s">
        <v>133</v>
      </c>
      <c r="C69" s="8" t="s">
        <v>103</v>
      </c>
      <c r="D69" s="8" t="str">
        <f t="shared" si="2"/>
        <v>Michael Murphy</v>
      </c>
    </row>
    <row r="70" spans="1:4" x14ac:dyDescent="0.25">
      <c r="A70" s="8" t="s">
        <v>125</v>
      </c>
      <c r="B70" s="8" t="s">
        <v>111</v>
      </c>
      <c r="C70" s="8" t="s">
        <v>96</v>
      </c>
      <c r="D70" s="8" t="str">
        <f t="shared" si="2"/>
        <v>Yuki Kim</v>
      </c>
    </row>
    <row r="71" spans="1:4" x14ac:dyDescent="0.25">
      <c r="A71" s="8" t="s">
        <v>136</v>
      </c>
      <c r="B71" s="8" t="s">
        <v>120</v>
      </c>
      <c r="C71" s="8" t="s">
        <v>103</v>
      </c>
      <c r="D71" s="8" t="str">
        <f t="shared" si="2"/>
        <v>Leila Novak</v>
      </c>
    </row>
    <row r="72" spans="1:4" x14ac:dyDescent="0.25">
      <c r="A72" s="8" t="s">
        <v>125</v>
      </c>
      <c r="B72" s="8" t="s">
        <v>143</v>
      </c>
      <c r="C72" s="8" t="s">
        <v>98</v>
      </c>
      <c r="D72" s="8" t="str">
        <f t="shared" si="2"/>
        <v>Yuki Costa</v>
      </c>
    </row>
    <row r="73" spans="1:4" x14ac:dyDescent="0.25">
      <c r="A73" s="8" t="s">
        <v>102</v>
      </c>
      <c r="B73" s="8" t="s">
        <v>105</v>
      </c>
      <c r="C73" s="8" t="s">
        <v>118</v>
      </c>
      <c r="D73" s="8" t="str">
        <f t="shared" si="2"/>
        <v>Wei Haddad</v>
      </c>
    </row>
    <row r="74" spans="1:4" x14ac:dyDescent="0.25">
      <c r="A74" s="8" t="s">
        <v>119</v>
      </c>
      <c r="B74" s="8" t="s">
        <v>108</v>
      </c>
      <c r="C74" s="8" t="s">
        <v>130</v>
      </c>
      <c r="D74" s="8" t="str">
        <f t="shared" si="2"/>
        <v>Aisha Dubois</v>
      </c>
    </row>
    <row r="75" spans="1:4" x14ac:dyDescent="0.25">
      <c r="A75" s="8" t="s">
        <v>137</v>
      </c>
      <c r="B75" s="8" t="s">
        <v>92</v>
      </c>
      <c r="C75" s="8" t="s">
        <v>96</v>
      </c>
      <c r="D75" s="8" t="str">
        <f t="shared" si="2"/>
        <v>Ahmed Johnson</v>
      </c>
    </row>
    <row r="76" spans="1:4" x14ac:dyDescent="0.25">
      <c r="A76" s="8" t="s">
        <v>157</v>
      </c>
      <c r="B76" s="8" t="s">
        <v>116</v>
      </c>
      <c r="C76" s="8" t="s">
        <v>93</v>
      </c>
      <c r="D76" s="8" t="str">
        <f t="shared" si="2"/>
        <v>David Lee</v>
      </c>
    </row>
    <row r="77" spans="1:4" x14ac:dyDescent="0.25">
      <c r="A77" s="8" t="s">
        <v>131</v>
      </c>
      <c r="B77" s="8" t="s">
        <v>95</v>
      </c>
      <c r="C77" s="8" t="s">
        <v>93</v>
      </c>
      <c r="D77" s="8" t="str">
        <f t="shared" si="2"/>
        <v>Omar Brown</v>
      </c>
    </row>
    <row r="78" spans="1:4" x14ac:dyDescent="0.25">
      <c r="A78" s="8" t="s">
        <v>158</v>
      </c>
      <c r="B78" s="8" t="s">
        <v>138</v>
      </c>
      <c r="C78" s="8" t="s">
        <v>93</v>
      </c>
      <c r="D78" s="8" t="str">
        <f t="shared" si="2"/>
        <v>Peter Cohen</v>
      </c>
    </row>
    <row r="79" spans="1:4" x14ac:dyDescent="0.25">
      <c r="A79" s="8" t="s">
        <v>157</v>
      </c>
      <c r="B79" s="8" t="s">
        <v>129</v>
      </c>
      <c r="C79" s="8" t="s">
        <v>93</v>
      </c>
      <c r="D79" s="8" t="str">
        <f t="shared" si="2"/>
        <v>David Tanaka</v>
      </c>
    </row>
    <row r="80" spans="1:4" x14ac:dyDescent="0.25">
      <c r="A80" s="8" t="s">
        <v>112</v>
      </c>
      <c r="B80" s="8" t="s">
        <v>135</v>
      </c>
      <c r="C80" s="8" t="s">
        <v>103</v>
      </c>
      <c r="D80" s="8" t="str">
        <f t="shared" si="2"/>
        <v>Carlos Patel</v>
      </c>
    </row>
    <row r="81" spans="1:4" x14ac:dyDescent="0.25">
      <c r="A81" s="8" t="s">
        <v>94</v>
      </c>
      <c r="B81" s="8" t="s">
        <v>133</v>
      </c>
      <c r="C81" s="8" t="s">
        <v>103</v>
      </c>
      <c r="D81" s="8" t="str">
        <f t="shared" si="2"/>
        <v>John Murphy</v>
      </c>
    </row>
    <row r="82" spans="1:4" x14ac:dyDescent="0.25">
      <c r="A82" s="8" t="s">
        <v>125</v>
      </c>
      <c r="B82" s="8" t="s">
        <v>151</v>
      </c>
      <c r="C82" s="8" t="s">
        <v>98</v>
      </c>
      <c r="D82" s="8" t="str">
        <f t="shared" si="2"/>
        <v>Yuki Garcia</v>
      </c>
    </row>
    <row r="83" spans="1:4" x14ac:dyDescent="0.25">
      <c r="A83" s="8" t="s">
        <v>99</v>
      </c>
      <c r="B83" s="8" t="s">
        <v>159</v>
      </c>
      <c r="C83" s="8" t="s">
        <v>106</v>
      </c>
      <c r="D83" s="8" t="str">
        <f t="shared" si="2"/>
        <v>Thomas Yamamoto</v>
      </c>
    </row>
    <row r="84" spans="1:4" x14ac:dyDescent="0.25">
      <c r="A84" s="8" t="s">
        <v>107</v>
      </c>
      <c r="B84" s="8" t="s">
        <v>160</v>
      </c>
      <c r="C84" s="8" t="s">
        <v>103</v>
      </c>
      <c r="D84" s="8" t="str">
        <f t="shared" si="2"/>
        <v>Fatima Larsen</v>
      </c>
    </row>
    <row r="85" spans="1:4" x14ac:dyDescent="0.25">
      <c r="A85" s="8" t="s">
        <v>101</v>
      </c>
      <c r="B85" s="8" t="s">
        <v>132</v>
      </c>
      <c r="C85" s="8" t="s">
        <v>93</v>
      </c>
      <c r="D85" s="8" t="str">
        <f t="shared" si="2"/>
        <v>Emma Nguyen</v>
      </c>
    </row>
    <row r="86" spans="1:4" x14ac:dyDescent="0.25">
      <c r="A86" s="8" t="s">
        <v>119</v>
      </c>
      <c r="B86" s="8" t="s">
        <v>152</v>
      </c>
      <c r="C86" s="8" t="s">
        <v>149</v>
      </c>
      <c r="D86" s="8" t="str">
        <f t="shared" si="2"/>
        <v>Aisha Rossi</v>
      </c>
    </row>
    <row r="87" spans="1:4" x14ac:dyDescent="0.25">
      <c r="A87" s="8" t="s">
        <v>136</v>
      </c>
      <c r="B87" s="8" t="s">
        <v>122</v>
      </c>
      <c r="C87" s="8" t="s">
        <v>93</v>
      </c>
      <c r="D87" s="8" t="str">
        <f t="shared" si="2"/>
        <v>Leila Ivanov</v>
      </c>
    </row>
    <row r="88" spans="1:4" x14ac:dyDescent="0.25">
      <c r="A88" s="8" t="s">
        <v>91</v>
      </c>
      <c r="B88" s="8" t="s">
        <v>138</v>
      </c>
      <c r="C88" s="8" t="s">
        <v>93</v>
      </c>
      <c r="D88" s="8" t="str">
        <f t="shared" si="2"/>
        <v>Kevin Cohen</v>
      </c>
    </row>
    <row r="89" spans="1:4" x14ac:dyDescent="0.25">
      <c r="A89" s="8" t="s">
        <v>117</v>
      </c>
      <c r="B89" s="8" t="s">
        <v>122</v>
      </c>
      <c r="C89" s="8" t="s">
        <v>118</v>
      </c>
      <c r="D89" s="8" t="str">
        <f t="shared" si="2"/>
        <v>Robert Ivanov</v>
      </c>
    </row>
    <row r="90" spans="1:4" x14ac:dyDescent="0.25">
      <c r="A90" s="8" t="s">
        <v>107</v>
      </c>
      <c r="B90" s="8" t="s">
        <v>132</v>
      </c>
      <c r="C90" s="8" t="s">
        <v>114</v>
      </c>
      <c r="D90" s="8" t="str">
        <f t="shared" si="2"/>
        <v>Fatima Nguyen</v>
      </c>
    </row>
    <row r="91" spans="1:4" x14ac:dyDescent="0.25">
      <c r="A91" s="8" t="s">
        <v>137</v>
      </c>
      <c r="B91" s="8" t="s">
        <v>151</v>
      </c>
      <c r="C91" s="8" t="s">
        <v>149</v>
      </c>
      <c r="D91" s="8" t="str">
        <f t="shared" si="2"/>
        <v>Ahmed Garcia</v>
      </c>
    </row>
    <row r="92" spans="1:4" x14ac:dyDescent="0.25">
      <c r="A92" s="8" t="s">
        <v>94</v>
      </c>
      <c r="B92" s="8" t="s">
        <v>108</v>
      </c>
      <c r="C92" s="8" t="s">
        <v>96</v>
      </c>
      <c r="D92" s="8" t="str">
        <f t="shared" si="2"/>
        <v>John Dubois</v>
      </c>
    </row>
    <row r="93" spans="1:4" x14ac:dyDescent="0.25">
      <c r="A93" s="8" t="s">
        <v>150</v>
      </c>
      <c r="B93" s="8" t="s">
        <v>135</v>
      </c>
      <c r="C93" s="8" t="s">
        <v>103</v>
      </c>
      <c r="D93" s="8" t="str">
        <f t="shared" si="2"/>
        <v>Elena Patel</v>
      </c>
    </row>
    <row r="94" spans="1:4" x14ac:dyDescent="0.25">
      <c r="A94" s="8" t="s">
        <v>136</v>
      </c>
      <c r="B94" s="8" t="s">
        <v>110</v>
      </c>
      <c r="C94" s="8" t="s">
        <v>106</v>
      </c>
      <c r="D94" s="8" t="str">
        <f t="shared" si="2"/>
        <v>Leila Osei</v>
      </c>
    </row>
    <row r="95" spans="1:4" x14ac:dyDescent="0.25">
      <c r="A95" s="8" t="s">
        <v>121</v>
      </c>
      <c r="B95" s="8" t="s">
        <v>138</v>
      </c>
      <c r="C95" s="8" t="s">
        <v>161</v>
      </c>
      <c r="D95" s="8" t="str">
        <f t="shared" si="2"/>
        <v>Maria Cohen</v>
      </c>
    </row>
    <row r="96" spans="1:4" x14ac:dyDescent="0.25">
      <c r="A96" s="8" t="s">
        <v>142</v>
      </c>
      <c r="B96" s="8" t="s">
        <v>162</v>
      </c>
      <c r="C96" s="8" t="s">
        <v>161</v>
      </c>
      <c r="D96" s="8" t="str">
        <f t="shared" si="2"/>
        <v>Marc Smith</v>
      </c>
    </row>
    <row r="97" spans="1:4" x14ac:dyDescent="0.25">
      <c r="A97" s="8" t="s">
        <v>150</v>
      </c>
      <c r="B97" s="8" t="s">
        <v>143</v>
      </c>
      <c r="C97" s="8" t="s">
        <v>130</v>
      </c>
      <c r="D97" s="8" t="str">
        <f t="shared" si="2"/>
        <v>Elena Costa</v>
      </c>
    </row>
    <row r="98" spans="1:4" x14ac:dyDescent="0.25">
      <c r="A98" s="8" t="s">
        <v>139</v>
      </c>
      <c r="B98" s="8" t="s">
        <v>152</v>
      </c>
      <c r="C98" s="8" t="s">
        <v>103</v>
      </c>
      <c r="D98" s="8" t="str">
        <f t="shared" si="2"/>
        <v>Priya Rossi</v>
      </c>
    </row>
    <row r="99" spans="1:4" x14ac:dyDescent="0.25">
      <c r="A99" s="8" t="s">
        <v>102</v>
      </c>
      <c r="B99" s="8" t="s">
        <v>110</v>
      </c>
      <c r="C99" s="8" t="s">
        <v>149</v>
      </c>
      <c r="D99" s="8" t="str">
        <f t="shared" si="2"/>
        <v>Wei Osei</v>
      </c>
    </row>
    <row r="100" spans="1:4" x14ac:dyDescent="0.25">
      <c r="A100" s="8" t="s">
        <v>121</v>
      </c>
      <c r="B100" s="8" t="s">
        <v>111</v>
      </c>
      <c r="C100" s="8" t="s">
        <v>118</v>
      </c>
      <c r="D100" s="8" t="str">
        <f t="shared" si="2"/>
        <v>Maria Kim</v>
      </c>
    </row>
    <row r="101" spans="1:4" x14ac:dyDescent="0.25">
      <c r="A101" s="8" t="s">
        <v>117</v>
      </c>
      <c r="B101" s="8" t="s">
        <v>113</v>
      </c>
      <c r="C101" s="8" t="s">
        <v>147</v>
      </c>
      <c r="D101" s="8" t="str">
        <f t="shared" si="2"/>
        <v>Robert Singh</v>
      </c>
    </row>
  </sheetData>
  <sheetProtection sheet="1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A8CD6-98F2-489E-9562-629748E955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Refresh Status</vt:lpstr>
      <vt:lpstr>Instructions</vt:lpstr>
      <vt:lpstr>Consolidated Priorities</vt:lpstr>
      <vt:lpstr>Sum of FTEs by Centre-Team</vt:lpstr>
      <vt:lpstr>Sum of FTEs by Priority</vt:lpstr>
      <vt:lpstr>Priorities_All (data)</vt:lpstr>
      <vt:lpstr>Teams_All (data)</vt:lpstr>
      <vt:lpstr>ResourceAllocation_All (data)</vt:lpstr>
      <vt:lpstr>Centres</vt:lpstr>
      <vt:lpstr>Priority</vt:lpstr>
      <vt:lpstr>Resources</vt:lpstr>
      <vt:lpstr>ResourceNameList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 Nielsen</cp:lastModifiedBy>
  <dcterms:created xsi:type="dcterms:W3CDTF">2026-08-17T23:53:47Z</dcterms:created>
  <dcterms:modified xsi:type="dcterms:W3CDTF">2026-09-04T17:41:22Z</dcterms:modified>
</cp:coreProperties>
</file>
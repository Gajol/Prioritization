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ug\Projects\Prioritization\management\"/>
    </mc:Choice>
  </mc:AlternateContent>
  <xr:revisionPtr revIDLastSave="0" documentId="13_ncr:1_{3A919D78-7647-4FE5-90ED-85BDEF3898F7}" xr6:coauthVersionLast="47" xr6:coauthVersionMax="47" xr10:uidLastSave="{00000000-0000-0000-0000-000000000000}"/>
  <bookViews>
    <workbookView xWindow="735" yWindow="735" windowWidth="27510" windowHeight="13965" xr2:uid="{00000000-000D-0000-FFFF-FFFF00000000}"/>
  </bookViews>
  <sheets>
    <sheet name="Instructions" sheetId="1" r:id="rId1"/>
    <sheet name="Centres" sheetId="2" r:id="rId2"/>
    <sheet name="Position" sheetId="3" r:id="rId3"/>
    <sheet name="Resources" sheetId="4" r:id="rId4"/>
    <sheet name="ResourceCentres" sheetId="5" r:id="rId5"/>
    <sheet name="Priority" sheetId="6" r:id="rId6"/>
    <sheet name="ProblemSet" sheetId="7" r:id="rId7"/>
    <sheet name="Tactical" sheetId="8" r:id="rId8"/>
    <sheet name="InitiativeType" sheetId="9" r:id="rId9"/>
    <sheet name="Initiative" sheetId="10" r:id="rId10"/>
    <sheet name="AssistanceType" sheetId="11" r:id="rId11"/>
    <sheet name="Assistance" sheetId="12" r:id="rId12"/>
    <sheet name="RatingLookup" sheetId="13" r:id="rId13"/>
  </sheets>
  <definedNames>
    <definedName name="Likelihood_IdTable">'RatingLookup'!$B$4:$F$8</definedName>
    <definedName name="Likelihood_MinTable">'RatingLookup'!$A$4:$B$8</definedName>
    <definedName name="PriorityTitleList">Priority!$A$2:$A$51</definedName>
    <definedName name="Risk_IdTable">'RatingLookup'!$B$9:$F$13</definedName>
    <definedName name="Risk_MinTable">'RatingLookup'!$A$9:$B$13</definedName>
    <definedName name="Value_IdTable">'RatingLookup'!$B$14:$F$18</definedName>
    <definedName name="Value_MinTable">'RatingLookup'!$A$14:$B$18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2" l="1"/>
  <c r="I17" i="12" s="1"/>
  <c r="I16" i="12"/>
  <c r="K16" i="12" s="1"/>
  <c r="H16" i="12"/>
  <c r="I15" i="12"/>
  <c r="K15" i="12" s="1"/>
  <c r="H15" i="12"/>
  <c r="I14" i="12"/>
  <c r="K14" i="12" s="1"/>
  <c r="H14" i="12"/>
  <c r="I13" i="12"/>
  <c r="K13" i="12" s="1"/>
  <c r="H13" i="12"/>
  <c r="I12" i="12"/>
  <c r="K12" i="12" s="1"/>
  <c r="H12" i="12"/>
  <c r="I11" i="12"/>
  <c r="K11" i="12" s="1"/>
  <c r="H11" i="12"/>
  <c r="I10" i="12"/>
  <c r="K10" i="12" s="1"/>
  <c r="H10" i="12"/>
  <c r="I9" i="12"/>
  <c r="K9" i="12" s="1"/>
  <c r="H9" i="12"/>
  <c r="I8" i="12"/>
  <c r="K8" i="12" s="1"/>
  <c r="H8" i="12"/>
  <c r="I7" i="12"/>
  <c r="K7" i="12" s="1"/>
  <c r="H7" i="12"/>
  <c r="I6" i="12"/>
  <c r="K6" i="12" s="1"/>
  <c r="H6" i="12"/>
  <c r="I5" i="12"/>
  <c r="K5" i="12" s="1"/>
  <c r="H5" i="12"/>
  <c r="I4" i="12"/>
  <c r="K4" i="12" s="1"/>
  <c r="H4" i="12"/>
  <c r="I3" i="12"/>
  <c r="K3" i="12" s="1"/>
  <c r="H3" i="12"/>
  <c r="I2" i="12"/>
  <c r="K2" i="12" s="1"/>
  <c r="H2" i="12"/>
  <c r="I17" i="10"/>
  <c r="K17" i="10" s="1"/>
  <c r="H17" i="10"/>
  <c r="I16" i="10"/>
  <c r="K16" i="10" s="1"/>
  <c r="H16" i="10"/>
  <c r="I15" i="10"/>
  <c r="K15" i="10" s="1"/>
  <c r="H15" i="10"/>
  <c r="I14" i="10"/>
  <c r="K14" i="10" s="1"/>
  <c r="H14" i="10"/>
  <c r="I13" i="10"/>
  <c r="K13" i="10" s="1"/>
  <c r="H13" i="10"/>
  <c r="I12" i="10"/>
  <c r="K12" i="10" s="1"/>
  <c r="H12" i="10"/>
  <c r="I11" i="10"/>
  <c r="K11" i="10" s="1"/>
  <c r="H11" i="10"/>
  <c r="I10" i="10"/>
  <c r="K10" i="10" s="1"/>
  <c r="H10" i="10"/>
  <c r="I9" i="10"/>
  <c r="K9" i="10" s="1"/>
  <c r="H9" i="10"/>
  <c r="I8" i="10"/>
  <c r="K8" i="10" s="1"/>
  <c r="H8" i="10"/>
  <c r="I7" i="10"/>
  <c r="K7" i="10" s="1"/>
  <c r="H7" i="10"/>
  <c r="I6" i="10"/>
  <c r="K6" i="10" s="1"/>
  <c r="H6" i="10"/>
  <c r="I5" i="10"/>
  <c r="K5" i="10" s="1"/>
  <c r="H5" i="10"/>
  <c r="I4" i="10"/>
  <c r="K4" i="10" s="1"/>
  <c r="H4" i="10"/>
  <c r="I3" i="10"/>
  <c r="K3" i="10" s="1"/>
  <c r="H3" i="10"/>
  <c r="I2" i="10"/>
  <c r="K2" i="10" s="1"/>
  <c r="H2" i="10"/>
  <c r="G19" i="8"/>
  <c r="H19" i="8" s="1"/>
  <c r="I19" i="8" s="1"/>
  <c r="J19" i="8" s="1"/>
  <c r="H18" i="8"/>
  <c r="I18" i="8" s="1"/>
  <c r="J18" i="8" s="1"/>
  <c r="G18" i="8"/>
  <c r="G17" i="8"/>
  <c r="H17" i="8" s="1"/>
  <c r="I17" i="8" s="1"/>
  <c r="J17" i="8" s="1"/>
  <c r="H16" i="8"/>
  <c r="I16" i="8" s="1"/>
  <c r="J16" i="8" s="1"/>
  <c r="G16" i="8"/>
  <c r="G15" i="8"/>
  <c r="H15" i="8" s="1"/>
  <c r="I15" i="8" s="1"/>
  <c r="J15" i="8" s="1"/>
  <c r="H14" i="8"/>
  <c r="I14" i="8" s="1"/>
  <c r="J14" i="8" s="1"/>
  <c r="G14" i="8"/>
  <c r="G13" i="8"/>
  <c r="H13" i="8" s="1"/>
  <c r="I13" i="8" s="1"/>
  <c r="J13" i="8" s="1"/>
  <c r="H12" i="8"/>
  <c r="I12" i="8" s="1"/>
  <c r="J12" i="8" s="1"/>
  <c r="G12" i="8"/>
  <c r="G11" i="8"/>
  <c r="H11" i="8" s="1"/>
  <c r="I11" i="8" s="1"/>
  <c r="J11" i="8" s="1"/>
  <c r="H10" i="8"/>
  <c r="I10" i="8" s="1"/>
  <c r="J10" i="8" s="1"/>
  <c r="G10" i="8"/>
  <c r="G9" i="8"/>
  <c r="H9" i="8" s="1"/>
  <c r="I9" i="8" s="1"/>
  <c r="J9" i="8" s="1"/>
  <c r="H8" i="8"/>
  <c r="I8" i="8" s="1"/>
  <c r="J8" i="8" s="1"/>
  <c r="G8" i="8"/>
  <c r="G7" i="8"/>
  <c r="H7" i="8" s="1"/>
  <c r="I7" i="8" s="1"/>
  <c r="J7" i="8" s="1"/>
  <c r="H6" i="8"/>
  <c r="I6" i="8" s="1"/>
  <c r="J6" i="8" s="1"/>
  <c r="G6" i="8"/>
  <c r="G5" i="8"/>
  <c r="H5" i="8" s="1"/>
  <c r="I5" i="8" s="1"/>
  <c r="J5" i="8" s="1"/>
  <c r="H4" i="8"/>
  <c r="I4" i="8" s="1"/>
  <c r="J4" i="8" s="1"/>
  <c r="G4" i="8"/>
  <c r="G3" i="8"/>
  <c r="H3" i="8" s="1"/>
  <c r="I3" i="8" s="1"/>
  <c r="J3" i="8" s="1"/>
  <c r="H2" i="8"/>
  <c r="I2" i="8" s="1"/>
  <c r="J2" i="8" s="1"/>
  <c r="G2" i="8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J2" i="10" l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L2" i="8"/>
  <c r="K2" i="8"/>
  <c r="L4" i="8"/>
  <c r="K4" i="8"/>
  <c r="L6" i="8"/>
  <c r="K6" i="8"/>
  <c r="L8" i="8"/>
  <c r="K8" i="8"/>
  <c r="L10" i="8"/>
  <c r="K10" i="8"/>
  <c r="L12" i="8"/>
  <c r="K12" i="8"/>
  <c r="L14" i="8"/>
  <c r="K14" i="8"/>
  <c r="L16" i="8"/>
  <c r="K16" i="8"/>
  <c r="L18" i="8"/>
  <c r="K18" i="8"/>
  <c r="L3" i="8"/>
  <c r="K3" i="8"/>
  <c r="L5" i="8"/>
  <c r="K5" i="8"/>
  <c r="L7" i="8"/>
  <c r="K7" i="8"/>
  <c r="L9" i="8"/>
  <c r="K9" i="8"/>
  <c r="L11" i="8"/>
  <c r="K11" i="8"/>
  <c r="L13" i="8"/>
  <c r="K13" i="8"/>
  <c r="L15" i="8"/>
  <c r="K15" i="8"/>
  <c r="L17" i="8"/>
  <c r="K17" i="8"/>
  <c r="L19" i="8"/>
  <c r="K19" i="8"/>
  <c r="J17" i="12"/>
  <c r="K17" i="12"/>
</calcChain>
</file>

<file path=xl/sharedStrings.xml><?xml version="1.0" encoding="utf-8"?>
<sst xmlns="http://schemas.openxmlformats.org/spreadsheetml/2006/main" count="1257" uniqueCount="381">
  <si>
    <t>Prioritization — Management Preparation Workbook</t>
  </si>
  <si>
    <t>Purpose</t>
  </si>
  <si>
    <t>This workbook is Management's Preparation-phase deliverable. It holds the reference/master data every Centre Lead workbook depends on: the list of Centres, the Position roster, the master Priority list with full Tactical/Initiative/Assistance scoring, and the RatingLookup bands used to label and colour-code scores.</t>
  </si>
  <si>
    <t>It uses the SAME data model as the Centre Lead workbooks (same table names/columns, defined from data-model/priorities.dbml). Centre Leads receive copies of the reference tables here (Centres, Position, Resources, ResourceCentres, Priority, Tactical, Initiative, Assistance, RatingLookup) plus their own blank transactional tables (Teams, TeamPriorities, TeamPriorityAllocation, ResourceAllocation).</t>
  </si>
  <si>
    <t>Sheets</t>
  </si>
  <si>
    <t>Centres, Position, ProblemSet, InitiativeType, AssistanceType — small reference lookups.</t>
  </si>
  <si>
    <t>RatingLookup — band definitions (name + colour) for Likelihood, Risk, and Value scores. See 'Simplifications' below.</t>
  </si>
  <si>
    <t>Resources — 100 synthesized people across the Position roster.</t>
  </si>
  <si>
    <t>ResourceCentres — which Centre(s) each Resource is associated with (many-to-many: a person can be associated with more than one centre). Each centre file's own Resource picker (Step 4) only offers people associated with that centre.</t>
  </si>
  <si>
    <t>Priority — 50 synthesized priorities split across the three types.</t>
  </si>
  <si>
    <t>Tactical / Initiative / Assistance — one scoring row per matching Priority, with computed Likelihood/Risk or Value and a band label + colour looked up from RatingLookup.</t>
  </si>
  <si>
    <t>All data on every sheet except Instructions is SYNTHESIZED for design and testing purposes — no real people, centres, or priorities.</t>
  </si>
  <si>
    <t>Simplifications from the draft data model (data-model/priorities.dbml)</t>
  </si>
  <si>
    <t>1. RatingLookup bands: the six raw 0-5 inputs (Intent, Capability, Consequence, Dividend, Feasibility, Cost) are left as plain numbers — only the computed outcomes (Likelihood, Risk, Value) are banded and colour-coded, since those are what get reviewed/visualized.</t>
  </si>
  <si>
    <t>2. RiskBandLevel is computed as LikelihoodLevel (the 1-5 band index of the raw Likelihood score) x Consequence, giving a 0-25 range — the draft model's wording ('Likelihood * Consequence') was ambiguous between the raw 0-25 Likelihood and its banded 1-5 level; the banded version keeps RiskBandLevel on a comparable 0-25 scale.</t>
  </si>
  <si>
    <t>3. Actor now stores a Centre Code (FK to Centres) instead of the draft's fixed Ottawa/Gatineau/Toronto enum, so it works for all six centres.</t>
  </si>
  <si>
    <t>4. LikelihoodScore and LikelihoodLevel were both defined in the draft with the same meaning — this workbook keeps only LikelihoodLevel.</t>
  </si>
  <si>
    <t>Next step: wire these tables into Excel's Data Model (Power Pivot) with relationships matching the Ref: lines in the DBML, so Centre workbooks can roll up through it. See docs/ once written.</t>
  </si>
  <si>
    <t>id</t>
  </si>
  <si>
    <t>Centre</t>
  </si>
  <si>
    <t>CentreCode</t>
  </si>
  <si>
    <t>Cyber Centre</t>
  </si>
  <si>
    <t>CYB</t>
  </si>
  <si>
    <t>Economic Centre</t>
  </si>
  <si>
    <t>ECO</t>
  </si>
  <si>
    <t>Infrastructure Centre</t>
  </si>
  <si>
    <t>INF</t>
  </si>
  <si>
    <t>Health Centre</t>
  </si>
  <si>
    <t>HLT</t>
  </si>
  <si>
    <t>Environmental Centre</t>
  </si>
  <si>
    <t>ENV</t>
  </si>
  <si>
    <t>Diplomatic Centre</t>
  </si>
  <si>
    <t>DIP</t>
  </si>
  <si>
    <t>Title</t>
  </si>
  <si>
    <t>PositionArea</t>
  </si>
  <si>
    <t>Position</t>
  </si>
  <si>
    <t>Level</t>
  </si>
  <si>
    <t>SortingHelper</t>
  </si>
  <si>
    <t>Operations Analyst</t>
  </si>
  <si>
    <t>Operations</t>
  </si>
  <si>
    <t>OA</t>
  </si>
  <si>
    <t>L1</t>
  </si>
  <si>
    <t>Senior Operations Analyst</t>
  </si>
  <si>
    <t>L2</t>
  </si>
  <si>
    <t>Operations Manager</t>
  </si>
  <si>
    <t>OM</t>
  </si>
  <si>
    <t>L3</t>
  </si>
  <si>
    <t>Senior Operations Manager</t>
  </si>
  <si>
    <t>L4</t>
  </si>
  <si>
    <t>Director of Operations</t>
  </si>
  <si>
    <t>DIR</t>
  </si>
  <si>
    <t>L5</t>
  </si>
  <si>
    <t>Technical Analyst</t>
  </si>
  <si>
    <t>Technical</t>
  </si>
  <si>
    <t>TA</t>
  </si>
  <si>
    <t>Software Engineer</t>
  </si>
  <si>
    <t>SWE</t>
  </si>
  <si>
    <t>Senior Software Engineer</t>
  </si>
  <si>
    <t>Technical Lead</t>
  </si>
  <si>
    <t>TL</t>
  </si>
  <si>
    <t>Director of Technology</t>
  </si>
  <si>
    <t>Legal Counsel</t>
  </si>
  <si>
    <t>Legal</t>
  </si>
  <si>
    <t>LC</t>
  </si>
  <si>
    <t>Senior Legal Counsel</t>
  </si>
  <si>
    <t>General Counsel</t>
  </si>
  <si>
    <t>GC</t>
  </si>
  <si>
    <t>FirstName</t>
  </si>
  <si>
    <t>LastName</t>
  </si>
  <si>
    <t>PositionTitle</t>
  </si>
  <si>
    <t>FullName</t>
  </si>
  <si>
    <t>Kevin</t>
  </si>
  <si>
    <t>Johnson</t>
  </si>
  <si>
    <t>John</t>
  </si>
  <si>
    <t>Brown</t>
  </si>
  <si>
    <t>Chen</t>
  </si>
  <si>
    <t>Thomas</t>
  </si>
  <si>
    <t>Kowalski</t>
  </si>
  <si>
    <t>Emma</t>
  </si>
  <si>
    <t>Wei</t>
  </si>
  <si>
    <t>James</t>
  </si>
  <si>
    <t>Haddad</t>
  </si>
  <si>
    <t>Fatima</t>
  </si>
  <si>
    <t>Dubois</t>
  </si>
  <si>
    <t>Grace</t>
  </si>
  <si>
    <t>Osei</t>
  </si>
  <si>
    <t>Kim</t>
  </si>
  <si>
    <t>Carlos</t>
  </si>
  <si>
    <t>Singh</t>
  </si>
  <si>
    <t>Ibrahim</t>
  </si>
  <si>
    <t>Lee</t>
  </si>
  <si>
    <t>Robert</t>
  </si>
  <si>
    <t>Aisha</t>
  </si>
  <si>
    <t>Novak</t>
  </si>
  <si>
    <t>Maria</t>
  </si>
  <si>
    <t>Ivanov</t>
  </si>
  <si>
    <t>Sarah</t>
  </si>
  <si>
    <t>Fischer</t>
  </si>
  <si>
    <t>Yuki</t>
  </si>
  <si>
    <t>Martin</t>
  </si>
  <si>
    <t>Laura</t>
  </si>
  <si>
    <t>Tanaka</t>
  </si>
  <si>
    <t>Omar</t>
  </si>
  <si>
    <t>Nguyen</t>
  </si>
  <si>
    <t>Murphy</t>
  </si>
  <si>
    <t>Anna</t>
  </si>
  <si>
    <t>Patel</t>
  </si>
  <si>
    <t>Leila</t>
  </si>
  <si>
    <t>Ahmed</t>
  </si>
  <si>
    <t>Cohen</t>
  </si>
  <si>
    <t>Priya</t>
  </si>
  <si>
    <t>Khan</t>
  </si>
  <si>
    <t>Nadia</t>
  </si>
  <si>
    <t>Marc</t>
  </si>
  <si>
    <t>Costa</t>
  </si>
  <si>
    <t>Petit</t>
  </si>
  <si>
    <t>Wilson</t>
  </si>
  <si>
    <t>Andersson</t>
  </si>
  <si>
    <t>Elena</t>
  </si>
  <si>
    <t>Garcia</t>
  </si>
  <si>
    <t>Rossi</t>
  </si>
  <si>
    <t>Michael</t>
  </si>
  <si>
    <t>Silva</t>
  </si>
  <si>
    <t>Daniel</t>
  </si>
  <si>
    <t>Sophie</t>
  </si>
  <si>
    <t>David</t>
  </si>
  <si>
    <t>Peter</t>
  </si>
  <si>
    <t>Yamamoto</t>
  </si>
  <si>
    <t>Larsen</t>
  </si>
  <si>
    <t>Smith</t>
  </si>
  <si>
    <t>Resource</t>
  </si>
  <si>
    <t>Kevin Johnson</t>
  </si>
  <si>
    <t>John Brown</t>
  </si>
  <si>
    <t>Chen Johnson</t>
  </si>
  <si>
    <t>Thomas Kowalski</t>
  </si>
  <si>
    <t>Emma Chen</t>
  </si>
  <si>
    <t>Wei Brown</t>
  </si>
  <si>
    <t>James Kowalski</t>
  </si>
  <si>
    <t>Kevin Haddad</t>
  </si>
  <si>
    <t>Fatima Dubois</t>
  </si>
  <si>
    <t>Grace Osei</t>
  </si>
  <si>
    <t>Grace Kim</t>
  </si>
  <si>
    <t>Carlos Singh</t>
  </si>
  <si>
    <t>Ibrahim Lee</t>
  </si>
  <si>
    <t>Robert Johnson</t>
  </si>
  <si>
    <t>Aisha Novak</t>
  </si>
  <si>
    <t>Maria Ivanov</t>
  </si>
  <si>
    <t>Sarah Fischer</t>
  </si>
  <si>
    <t>Yuki Martin</t>
  </si>
  <si>
    <t>Laura Tanaka</t>
  </si>
  <si>
    <t>Omar Nguyen</t>
  </si>
  <si>
    <t>Maria Murphy</t>
  </si>
  <si>
    <t>Anna Patel</t>
  </si>
  <si>
    <t>Leila Johnson</t>
  </si>
  <si>
    <t>Ahmed Cohen</t>
  </si>
  <si>
    <t>Priya Khan</t>
  </si>
  <si>
    <t>Nadia Singh</t>
  </si>
  <si>
    <t>Nadia Cohen</t>
  </si>
  <si>
    <t>Kevin Kim</t>
  </si>
  <si>
    <t>Fatima Kim</t>
  </si>
  <si>
    <t>John Fischer</t>
  </si>
  <si>
    <t>Yuki Brown</t>
  </si>
  <si>
    <t>Marc Costa</t>
  </si>
  <si>
    <t>Fatima Petit</t>
  </si>
  <si>
    <t>Carlos Wilson</t>
  </si>
  <si>
    <t>Wei Fischer</t>
  </si>
  <si>
    <t>Thomas Haddad</t>
  </si>
  <si>
    <t>Kevin Andersson</t>
  </si>
  <si>
    <t>Elena Cohen</t>
  </si>
  <si>
    <t>John Garcia</t>
  </si>
  <si>
    <t>Yuki Kowalski</t>
  </si>
  <si>
    <t>Omar Rossi</t>
  </si>
  <si>
    <t>Robert Khan</t>
  </si>
  <si>
    <t>Michael Silva</t>
  </si>
  <si>
    <t>Ibrahim Chen</t>
  </si>
  <si>
    <t>Michael Cohen</t>
  </si>
  <si>
    <t>Nadia Rossi</t>
  </si>
  <si>
    <t>Robert Wilson</t>
  </si>
  <si>
    <t>Ahmed Silva</t>
  </si>
  <si>
    <t>Yuki Osei</t>
  </si>
  <si>
    <t>Nadia Ivanov</t>
  </si>
  <si>
    <t>Ibrahim Singh</t>
  </si>
  <si>
    <t>Carlos Johnson</t>
  </si>
  <si>
    <t>Priya Dubois</t>
  </si>
  <si>
    <t>Chen Tanaka</t>
  </si>
  <si>
    <t>Daniel Costa</t>
  </si>
  <si>
    <t>Elena Johnson</t>
  </si>
  <si>
    <t>Anna Petit</t>
  </si>
  <si>
    <t>Laura Nguyen</t>
  </si>
  <si>
    <t>Ibrahim Kim</t>
  </si>
  <si>
    <t>Ibrahim Fischer</t>
  </si>
  <si>
    <t>James Novak</t>
  </si>
  <si>
    <t>James Johnson</t>
  </si>
  <si>
    <t>Thomas Petit</t>
  </si>
  <si>
    <t>Fatima Chen</t>
  </si>
  <si>
    <t>Omar Patel</t>
  </si>
  <si>
    <t>Sophie Petit</t>
  </si>
  <si>
    <t>Ibrahim Kowalski</t>
  </si>
  <si>
    <t>Michael Murphy</t>
  </si>
  <si>
    <t>Yuki Kim</t>
  </si>
  <si>
    <t>Leila Novak</t>
  </si>
  <si>
    <t>Yuki Costa</t>
  </si>
  <si>
    <t>Wei Haddad</t>
  </si>
  <si>
    <t>Aisha Dubois</t>
  </si>
  <si>
    <t>Ahmed Johnson</t>
  </si>
  <si>
    <t>David Lee</t>
  </si>
  <si>
    <t>Omar Brown</t>
  </si>
  <si>
    <t>Peter Cohen</t>
  </si>
  <si>
    <t>David Tanaka</t>
  </si>
  <si>
    <t>Carlos Patel</t>
  </si>
  <si>
    <t>John Murphy</t>
  </si>
  <si>
    <t>Yuki Garcia</t>
  </si>
  <si>
    <t>Thomas Yamamoto</t>
  </si>
  <si>
    <t>Fatima Larsen</t>
  </si>
  <si>
    <t>Emma Nguyen</t>
  </si>
  <si>
    <t>Aisha Rossi</t>
  </si>
  <si>
    <t>Leila Ivanov</t>
  </si>
  <si>
    <t>Kevin Cohen</t>
  </si>
  <si>
    <t>Robert Ivanov</t>
  </si>
  <si>
    <t>Fatima Nguyen</t>
  </si>
  <si>
    <t>Ahmed Garcia</t>
  </si>
  <si>
    <t>John Dubois</t>
  </si>
  <si>
    <t>Elena Patel</t>
  </si>
  <si>
    <t>Leila Osei</t>
  </si>
  <si>
    <t>Maria Cohen</t>
  </si>
  <si>
    <t>Marc Smith</t>
  </si>
  <si>
    <t>Elena Costa</t>
  </si>
  <si>
    <t>Priya Rossi</t>
  </si>
  <si>
    <t>Wei Osei</t>
  </si>
  <si>
    <t>Maria Kim</t>
  </si>
  <si>
    <t>Robert Singh</t>
  </si>
  <si>
    <t>Type</t>
  </si>
  <si>
    <t>Impact</t>
  </si>
  <si>
    <t>Resources</t>
  </si>
  <si>
    <t>Harden network perimeter defenses</t>
  </si>
  <si>
    <t>Tactical</t>
  </si>
  <si>
    <t>Risk</t>
  </si>
  <si>
    <t>No</t>
  </si>
  <si>
    <t>Close critical patching gap</t>
  </si>
  <si>
    <t>Reduce third-party vendor risk exposure</t>
  </si>
  <si>
    <t>Contain phishing incident recurrence</t>
  </si>
  <si>
    <t>Stabilize legacy authentication systems</t>
  </si>
  <si>
    <t>Mitigate single-vendor supply dependency</t>
  </si>
  <si>
    <t>Address currency exposure on cross-border contracts</t>
  </si>
  <si>
    <t>Reduce fraud loss in claims processing</t>
  </si>
  <si>
    <t>Shore up disaster-recovery failover gap</t>
  </si>
  <si>
    <t>Contain cost overruns on flagship program</t>
  </si>
  <si>
    <t>Close skills gap in incident response team</t>
  </si>
  <si>
    <t>Reduce backlog of unresolved audit findings</t>
  </si>
  <si>
    <t>Mitigate insider-threat detection blind spot</t>
  </si>
  <si>
    <t>Stabilize vendor payment processing errors</t>
  </si>
  <si>
    <t>Address data-retention compliance gap</t>
  </si>
  <si>
    <t>Reduce downtime on critical case-management platform</t>
  </si>
  <si>
    <t>Contain reputational risk from delayed public reporting</t>
  </si>
  <si>
    <t>Launch predictive analytics pilot</t>
  </si>
  <si>
    <t>Initiative</t>
  </si>
  <si>
    <t>Value</t>
  </si>
  <si>
    <t>Modernize case-management platform</t>
  </si>
  <si>
    <t>Stand up cross-centre data-sharing hub</t>
  </si>
  <si>
    <t>Build automated reporting dashboards</t>
  </si>
  <si>
    <t>Pilot AI-assisted triage for intake requests</t>
  </si>
  <si>
    <t>Develop centre-wide skills academy</t>
  </si>
  <si>
    <t>Launch digital self-service portal</t>
  </si>
  <si>
    <t>Establish innovation partnership with academia</t>
  </si>
  <si>
    <t>Build a unified risk-scoring model</t>
  </si>
  <si>
    <t>Modernize records-management architecture</t>
  </si>
  <si>
    <t>Pilot flexible/hybrid staffing model</t>
  </si>
  <si>
    <t>Develop a real-time performance dashboard</t>
  </si>
  <si>
    <t>Launch a data-quality improvement program</t>
  </si>
  <si>
    <t>Build a shared services centre for back-office functions</t>
  </si>
  <si>
    <t>Pilot a client-experience redesign</t>
  </si>
  <si>
    <t>Develop an early-warning indicators program</t>
  </si>
  <si>
    <t>Provide cross-centre threat-briefing support</t>
  </si>
  <si>
    <t>Assistance</t>
  </si>
  <si>
    <t>Second an analyst to a partner centre</t>
  </si>
  <si>
    <t>Share technical infrastructure capacity</t>
  </si>
  <si>
    <t>Provide legal review support to partner initiatives</t>
  </si>
  <si>
    <t>Coordinate joint training exercises</t>
  </si>
  <si>
    <t>Provide surge staffing during peak demand</t>
  </si>
  <si>
    <t>Share lessons learned from recent incidents</t>
  </si>
  <si>
    <t>Provide advisory support on procurement</t>
  </si>
  <si>
    <t>Coordinate a joint public-communications response</t>
  </si>
  <si>
    <t>Provide mentoring capacity to junior analysts</t>
  </si>
  <si>
    <t>Share data infrastructure with partner centre</t>
  </si>
  <si>
    <t>Provide translation/interpretation support</t>
  </si>
  <si>
    <t>Coordinate a joint tabletop exercise</t>
  </si>
  <si>
    <t>Provide technical assistance on system migration</t>
  </si>
  <si>
    <t>Support a partner centre's audit response</t>
  </si>
  <si>
    <t>Provide surge analytic capacity for a major event</t>
  </si>
  <si>
    <t>Modernize vendor risk-assessment process</t>
  </si>
  <si>
    <t>TacticalType</t>
  </si>
  <si>
    <t>ProblemSetShortCode</t>
  </si>
  <si>
    <t>Supply Chain Resilience</t>
  </si>
  <si>
    <t>Efficiency</t>
  </si>
  <si>
    <t>SCR</t>
  </si>
  <si>
    <t>Revenue Diversification</t>
  </si>
  <si>
    <t>Profitability</t>
  </si>
  <si>
    <t>REV</t>
  </si>
  <si>
    <t>Legacy System Modernization</t>
  </si>
  <si>
    <t>LSM</t>
  </si>
  <si>
    <t>Fraud Reduction</t>
  </si>
  <si>
    <t>FRD</t>
  </si>
  <si>
    <t>Talent Retention</t>
  </si>
  <si>
    <t>TAL</t>
  </si>
  <si>
    <t>PriorityReference</t>
  </si>
  <si>
    <t>Actor</t>
  </si>
  <si>
    <t>ProblemSet</t>
  </si>
  <si>
    <t>Intent</t>
  </si>
  <si>
    <t>Capability</t>
  </si>
  <si>
    <t>Consequence</t>
  </si>
  <si>
    <t>Likelihood</t>
  </si>
  <si>
    <t>LikelihoodLevel</t>
  </si>
  <si>
    <t>RiskRaw</t>
  </si>
  <si>
    <t>RiskLabelId</t>
  </si>
  <si>
    <t>RiskLabel</t>
  </si>
  <si>
    <t>RiskColour</t>
  </si>
  <si>
    <t>Level1</t>
  </si>
  <si>
    <t>Level2</t>
  </si>
  <si>
    <t>InitiativeShortCode</t>
  </si>
  <si>
    <t>Data Exploitation Initiative</t>
  </si>
  <si>
    <t>Analytical</t>
  </si>
  <si>
    <t>DataExploitation</t>
  </si>
  <si>
    <t>DEI</t>
  </si>
  <si>
    <t>Technical Discovery Initiative</t>
  </si>
  <si>
    <t>Discovery</t>
  </si>
  <si>
    <t>TDI</t>
  </si>
  <si>
    <t>Partnership Coordination Initiative</t>
  </si>
  <si>
    <t>Partnership</t>
  </si>
  <si>
    <t>Coordination</t>
  </si>
  <si>
    <t>PCI</t>
  </si>
  <si>
    <t>Analytical Partnership Initiative</t>
  </si>
  <si>
    <t>API</t>
  </si>
  <si>
    <t>InitiativeType</t>
  </si>
  <si>
    <t>Dividend</t>
  </si>
  <si>
    <t>Feasibility</t>
  </si>
  <si>
    <t>Cost</t>
  </si>
  <si>
    <t>ValueLabelId</t>
  </si>
  <si>
    <t>ValueLabel</t>
  </si>
  <si>
    <t>ValueColour</t>
  </si>
  <si>
    <t>AssistanceShortCode</t>
  </si>
  <si>
    <t>Advisory Support</t>
  </si>
  <si>
    <t>Guidance</t>
  </si>
  <si>
    <t>Advisory</t>
  </si>
  <si>
    <t>ADV</t>
  </si>
  <si>
    <t>Technical Assistance</t>
  </si>
  <si>
    <t>TEC</t>
  </si>
  <si>
    <t>Capacity Building</t>
  </si>
  <si>
    <t>Development</t>
  </si>
  <si>
    <t>Training</t>
  </si>
  <si>
    <t>CAP</t>
  </si>
  <si>
    <t>Liaison Support</t>
  </si>
  <si>
    <t>LIA</t>
  </si>
  <si>
    <t>AssistanceType</t>
  </si>
  <si>
    <t>Alignment</t>
  </si>
  <si>
    <t>Contribution</t>
  </si>
  <si>
    <t>Capacity</t>
  </si>
  <si>
    <t>Band definitions for computed scores. Six raw 0-5 inputs are left unlabelled by design — see Instructions, Simplification #1.</t>
  </si>
  <si>
    <t>minValue</t>
  </si>
  <si>
    <t>RatingType</t>
  </si>
  <si>
    <t>maxValue</t>
  </si>
  <si>
    <t>BandName</t>
  </si>
  <si>
    <t>ColourCode</t>
  </si>
  <si>
    <t>Very Low</t>
  </si>
  <si>
    <t>FFDCE6F1</t>
  </si>
  <si>
    <t>Low</t>
  </si>
  <si>
    <t>FFB8CCE4</t>
  </si>
  <si>
    <t>Moderate</t>
  </si>
  <si>
    <t>FF8DB4E2</t>
  </si>
  <si>
    <t>High</t>
  </si>
  <si>
    <t>FF538DD5</t>
  </si>
  <si>
    <t>Very High</t>
  </si>
  <si>
    <t>FF1F497D</t>
  </si>
  <si>
    <t>Minimal</t>
  </si>
  <si>
    <t>FF63BE7B</t>
  </si>
  <si>
    <t>FFA9D18E</t>
  </si>
  <si>
    <t>FFFFEB84</t>
  </si>
  <si>
    <t>FFF4B183</t>
  </si>
  <si>
    <t>FFE06666</t>
  </si>
  <si>
    <t>Limited</t>
  </si>
  <si>
    <t>Significant</t>
  </si>
  <si>
    <t>Exceptional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</si>
</sst>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B8CCE4"/>
      </patternFill>
    </fill>
    <fill>
      <patternFill patternType="solid">
        <fgColor rgb="FF8DB4E2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63BE7B"/>
      </patternFill>
    </fill>
    <fill>
      <patternFill patternType="solid">
        <fgColor rgb="FFA9D18E"/>
      </patternFill>
    </fill>
    <fill>
      <patternFill patternType="solid">
        <fgColor rgb="FFFFEB84"/>
      </patternFill>
    </fill>
    <fill>
      <patternFill patternType="solid">
        <fgColor rgb="FFF4B183"/>
      </patternFill>
    </fill>
    <fill>
      <patternFill patternType="solid">
        <fgColor rgb="FFE066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7" fillId="0" borderId="0" xfId="0" applyFont="1"/>
    <xf numFmtId="0" fontId="0" fillId="0" borderId="0" xfId="0"/>
  </cellXfs>
  <cellStyles count="1">
    <cellStyle name="Normal" xfId="0" builtinId="0"/>
  </cellStyles>
  <dxfs count="15">
    <dxf>
      <font>
        <color rgb="FF000000"/>
        <name val="Arial"/>
      </font>
      <fill>
        <patternFill patternType="solid">
          <fgColor rgb="FF63BE7B"/>
          <bgColor rgb="FF63BE7B"/>
        </patternFill>
      </fill>
    </dxf>
    <dxf>
      <font>
        <color rgb="FF000000"/>
        <name val="Arial"/>
      </font>
      <fill>
        <patternFill patternType="solid">
          <fgColor rgb="FFA9D18E"/>
          <bgColor rgb="FFA9D18E"/>
        </patternFill>
      </fill>
    </dxf>
    <dxf>
      <font>
        <color rgb="FF000000"/>
        <name val="Arial"/>
      </font>
      <fill>
        <patternFill patternType="solid">
          <fgColor rgb="FFFFEB84"/>
          <bgColor rgb="FFFFEB84"/>
        </patternFill>
      </fill>
    </dxf>
    <dxf>
      <font>
        <color rgb="FF000000"/>
        <name val="Arial"/>
      </font>
      <fill>
        <patternFill patternType="solid">
          <fgColor rgb="FFF4B183"/>
          <bgColor rgb="FFF4B183"/>
        </patternFill>
      </fill>
    </dxf>
    <dxf>
      <font>
        <color rgb="FF000000"/>
        <name val="Arial"/>
      </font>
      <fill>
        <patternFill patternType="solid">
          <fgColor rgb="FFE06666"/>
          <bgColor rgb="FFE06666"/>
        </patternFill>
      </fill>
    </dxf>
    <dxf>
      <font>
        <color rgb="FF000000"/>
        <name val="Arial"/>
      </font>
      <fill>
        <patternFill patternType="solid">
          <fgColor rgb="FF63BE7B"/>
          <bgColor rgb="FF63BE7B"/>
        </patternFill>
      </fill>
    </dxf>
    <dxf>
      <font>
        <color rgb="FF000000"/>
        <name val="Arial"/>
      </font>
      <fill>
        <patternFill patternType="solid">
          <fgColor rgb="FFA9D18E"/>
          <bgColor rgb="FFA9D18E"/>
        </patternFill>
      </fill>
    </dxf>
    <dxf>
      <font>
        <color rgb="FF000000"/>
        <name val="Arial"/>
      </font>
      <fill>
        <patternFill patternType="solid">
          <fgColor rgb="FFFFEB84"/>
          <bgColor rgb="FFFFEB84"/>
        </patternFill>
      </fill>
    </dxf>
    <dxf>
      <font>
        <color rgb="FF000000"/>
        <name val="Arial"/>
      </font>
      <fill>
        <patternFill patternType="solid">
          <fgColor rgb="FFF4B183"/>
          <bgColor rgb="FFF4B183"/>
        </patternFill>
      </fill>
    </dxf>
    <dxf>
      <font>
        <color rgb="FF000000"/>
        <name val="Arial"/>
      </font>
      <fill>
        <patternFill patternType="solid">
          <fgColor rgb="FFE06666"/>
          <bgColor rgb="FFE06666"/>
        </patternFill>
      </fill>
    </dxf>
    <dxf>
      <font>
        <color rgb="FF000000"/>
        <name val="Arial"/>
      </font>
      <fill>
        <patternFill patternType="solid">
          <fgColor rgb="FFE06666"/>
          <bgColor rgb="FFE06666"/>
        </patternFill>
      </fill>
    </dxf>
    <dxf>
      <font>
        <color rgb="FF000000"/>
        <name val="Arial"/>
      </font>
      <fill>
        <patternFill patternType="solid">
          <fgColor rgb="FFF4B183"/>
          <bgColor rgb="FFF4B183"/>
        </patternFill>
      </fill>
    </dxf>
    <dxf>
      <font>
        <color rgb="FF000000"/>
        <name val="Arial"/>
      </font>
      <fill>
        <patternFill patternType="solid">
          <fgColor rgb="FFFFEB84"/>
          <bgColor rgb="FFFFEB84"/>
        </patternFill>
      </fill>
    </dxf>
    <dxf>
      <font>
        <color rgb="FF000000"/>
        <name val="Arial"/>
      </font>
      <fill>
        <patternFill patternType="solid">
          <fgColor rgb="FFA9D18E"/>
          <bgColor rgb="FFA9D18E"/>
        </patternFill>
      </fill>
    </dxf>
    <dxf>
      <font>
        <color rgb="FF000000"/>
        <name val="Arial"/>
      </font>
      <fill>
        <patternFill patternType="solid">
          <fgColor rgb="FF63BE7B"/>
          <bgColor rgb="FF63BE7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es" displayName="Centres" ref="A1:C7">
  <autoFilter ref="A1:C7" xr:uid="{00000000-0009-0000-0100-000001000000}"/>
  <tableColumns count="3">
    <tableColumn id="1" xr3:uid="{00000000-0010-0000-0000-000001000000}" name="id"/>
    <tableColumn id="2" xr3:uid="{00000000-0010-0000-0000-000002000000}" name="Centre"/>
    <tableColumn id="3" xr3:uid="{00000000-0010-0000-0000-000003000000}" name="Centre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ition" displayName="Position" ref="A1:E14">
  <autoFilter ref="A1:E14" xr:uid="{00000000-0009-0000-0100-000002000000}"/>
  <tableColumns count="5">
    <tableColumn id="1" xr3:uid="{00000000-0010-0000-0100-000001000000}" name="Title"/>
    <tableColumn id="2" xr3:uid="{00000000-0010-0000-0100-000002000000}" name="PositionArea"/>
    <tableColumn id="3" xr3:uid="{00000000-0010-0000-0100-000003000000}" name="Position"/>
    <tableColumn id="4" xr3:uid="{00000000-0010-0000-0100-000004000000}" name="Level"/>
    <tableColumn id="5" xr3:uid="{00000000-0010-0000-0100-000005000000}" name="SortingHelp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ources" displayName="Resources" ref="A1:D101">
  <autoFilter ref="A1:D101" xr:uid="{00000000-0009-0000-0100-000003000000}"/>
  <tableColumns count="4">
    <tableColumn id="1" xr3:uid="{00000000-0010-0000-0200-000001000000}" name="FirstName"/>
    <tableColumn id="2" xr3:uid="{00000000-0010-0000-0200-000002000000}" name="LastName"/>
    <tableColumn id="3" xr3:uid="{00000000-0010-0000-0200-000003000000}" name="PositionTitle"/>
    <tableColumn id="4" xr3:uid="{00000000-0010-0000-0200-000004000000}" name="Full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ourceCentres" displayName="ResourceCentres" ref="A1:B165">
  <autoFilter ref="A1:B165" xr:uid="{00000000-0009-0000-0100-000004000000}"/>
  <tableColumns count="2">
    <tableColumn id="1" xr3:uid="{00000000-0010-0000-0300-000001000000}" name="Resource"/>
    <tableColumn id="2" xr3:uid="{00000000-0010-0000-0300-000002000000}" name="Centre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iority" displayName="Priority" ref="A1:D51">
  <autoFilter ref="A1:D51" xr:uid="{00000000-0009-0000-0100-000005000000}"/>
  <tableColumns count="4">
    <tableColumn id="1" xr3:uid="{00000000-0010-0000-0400-000001000000}" name="Title"/>
    <tableColumn id="2" xr3:uid="{00000000-0010-0000-0400-000002000000}" name="Type"/>
    <tableColumn id="3" xr3:uid="{00000000-0010-0000-0400-000003000000}" name="Impact"/>
    <tableColumn id="4" xr3:uid="{00000000-0010-0000-0400-000004000000}" name="Resourc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blemSet" displayName="ProblemSet" ref="A1:D6">
  <autoFilter ref="A1:D6" xr:uid="{00000000-0009-0000-0100-000006000000}"/>
  <tableColumns count="4">
    <tableColumn id="1" xr3:uid="{00000000-0010-0000-0500-000001000000}" name="id"/>
    <tableColumn id="2" xr3:uid="{00000000-0010-0000-0500-000002000000}" name="Title"/>
    <tableColumn id="3" xr3:uid="{00000000-0010-0000-0500-000003000000}" name="TacticalType"/>
    <tableColumn id="4" xr3:uid="{00000000-0010-0000-0500-000004000000}" name="ProblemSetShort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ctical" displayName="Tactical" ref="A1:L19">
  <autoFilter ref="A1:L19" xr:uid="{00000000-0009-0000-0100-000007000000}"/>
  <tableColumns count="12">
    <tableColumn id="1" xr3:uid="{00000000-0010-0000-0600-000001000000}" name="PriorityReference"/>
    <tableColumn id="2" xr3:uid="{00000000-0010-0000-0600-000002000000}" name="Actor"/>
    <tableColumn id="3" xr3:uid="{00000000-0010-0000-0600-000003000000}" name="ProblemSet"/>
    <tableColumn id="4" xr3:uid="{00000000-0010-0000-0600-000004000000}" name="Intent"/>
    <tableColumn id="5" xr3:uid="{00000000-0010-0000-0600-000005000000}" name="Capability"/>
    <tableColumn id="6" xr3:uid="{00000000-0010-0000-0600-000006000000}" name="Consequence"/>
    <tableColumn id="7" xr3:uid="{00000000-0010-0000-0600-000007000000}" name="Likelihood"/>
    <tableColumn id="8" xr3:uid="{00000000-0010-0000-0600-000008000000}" name="LikelihoodLevel"/>
    <tableColumn id="9" xr3:uid="{00000000-0010-0000-0600-000009000000}" name="RiskRaw"/>
    <tableColumn id="10" xr3:uid="{00000000-0010-0000-0600-00000A000000}" name="RiskLabelId"/>
    <tableColumn id="11" xr3:uid="{00000000-0010-0000-0600-00000B000000}" name="RiskLabel"/>
    <tableColumn id="12" xr3:uid="{00000000-0010-0000-0600-00000C000000}" name="RiskColo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itiativeType" displayName="InitiativeType" ref="A1:E5">
  <autoFilter ref="A1:E5" xr:uid="{00000000-0009-0000-0100-000008000000}"/>
  <tableColumns count="5">
    <tableColumn id="1" xr3:uid="{00000000-0010-0000-0700-000001000000}" name="id"/>
    <tableColumn id="2" xr3:uid="{00000000-0010-0000-0700-000002000000}" name="Title"/>
    <tableColumn id="3" xr3:uid="{00000000-0010-0000-0700-000003000000}" name="Level1"/>
    <tableColumn id="4" xr3:uid="{00000000-0010-0000-0700-000004000000}" name="Level2"/>
    <tableColumn id="5" xr3:uid="{00000000-0010-0000-0700-000005000000}" name="InitiativeShort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nitiative" displayName="Initiative" ref="A1:K17">
  <autoFilter ref="A1:K17" xr:uid="{00000000-0009-0000-0100-000009000000}"/>
  <tableColumns count="11">
    <tableColumn id="1" xr3:uid="{00000000-0010-0000-0800-000001000000}" name="PriorityReference"/>
    <tableColumn id="2" xr3:uid="{00000000-0010-0000-0800-000002000000}" name="Actor"/>
    <tableColumn id="3" xr3:uid="{00000000-0010-0000-0800-000003000000}" name="InitiativeType"/>
    <tableColumn id="4" xr3:uid="{00000000-0010-0000-0800-000004000000}" name="InitiativeShortCode"/>
    <tableColumn id="5" xr3:uid="{00000000-0010-0000-0800-000005000000}" name="Dividend"/>
    <tableColumn id="6" xr3:uid="{00000000-0010-0000-0800-000006000000}" name="Feasibility"/>
    <tableColumn id="7" xr3:uid="{00000000-0010-0000-0800-000007000000}" name="Cost"/>
    <tableColumn id="8" xr3:uid="{00000000-0010-0000-0800-000008000000}" name="Value"/>
    <tableColumn id="9" xr3:uid="{00000000-0010-0000-0800-000009000000}" name="ValueLabelId"/>
    <tableColumn id="10" xr3:uid="{00000000-0010-0000-0800-00000A000000}" name="ValueLabel"/>
    <tableColumn id="11" xr3:uid="{00000000-0010-0000-0800-00000B000000}" name="ValueColou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ssistanceType" displayName="AssistanceType" ref="A1:E5">
  <autoFilter ref="A1:E5" xr:uid="{00000000-0009-0000-0100-00000A000000}"/>
  <tableColumns count="5">
    <tableColumn id="1" xr3:uid="{00000000-0010-0000-0900-000001000000}" name="id"/>
    <tableColumn id="2" xr3:uid="{00000000-0010-0000-0900-000002000000}" name="Title"/>
    <tableColumn id="3" xr3:uid="{00000000-0010-0000-0900-000003000000}" name="Level1"/>
    <tableColumn id="4" xr3:uid="{00000000-0010-0000-0900-000004000000}" name="Level2"/>
    <tableColumn id="5" xr3:uid="{00000000-0010-0000-0900-000005000000}" name="AssistanceShortC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ssistance" displayName="Assistance" ref="A1:K17">
  <autoFilter ref="A1:K17" xr:uid="{00000000-0009-0000-0100-00000B000000}"/>
  <tableColumns count="11">
    <tableColumn id="1" xr3:uid="{00000000-0010-0000-0A00-000001000000}" name="PriorityReference"/>
    <tableColumn id="2" xr3:uid="{00000000-0010-0000-0A00-000002000000}" name="Actor"/>
    <tableColumn id="3" xr3:uid="{00000000-0010-0000-0A00-000003000000}" name="AssistanceType"/>
    <tableColumn id="4" xr3:uid="{00000000-0010-0000-0A00-000004000000}" name="AssistanceShortCode"/>
    <tableColumn id="5" xr3:uid="{00000000-0010-0000-0A00-000005000000}" name="Alignment"/>
    <tableColumn id="6" xr3:uid="{00000000-0010-0000-0A00-000006000000}" name="Contribution"/>
    <tableColumn id="7" xr3:uid="{00000000-0010-0000-0A00-000007000000}" name="Capacity"/>
    <tableColumn id="8" xr3:uid="{00000000-0010-0000-0A00-000008000000}" name="Value"/>
    <tableColumn id="9" xr3:uid="{00000000-0010-0000-0A00-000009000000}" name="ValueLabelId"/>
    <tableColumn id="10" xr3:uid="{00000000-0010-0000-0A00-00000A000000}" name="ValueLabel"/>
    <tableColumn id="11" xr3:uid="{00000000-0010-0000-0A00-00000B000000}" name="ValueColou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atingLookup" displayName="RatingLookup" ref="A3:F18">
  <autoFilter ref="A3:F18" xr:uid="{00000000-0009-0000-0100-00000C000000}"/>
  <tableColumns count="6">
    <tableColumn id="1" xr3:uid="{00000000-0010-0000-0B00-000001000000}" name="minValue"/>
    <tableColumn id="2" xr3:uid="{00000000-0010-0000-0B00-000002000000}" name="id"/>
    <tableColumn id="3" xr3:uid="{00000000-0010-0000-0B00-000003000000}" name="RatingType"/>
    <tableColumn id="4" xr3:uid="{00000000-0010-0000-0B00-000004000000}" name="maxValue"/>
    <tableColumn id="5" xr3:uid="{00000000-0010-0000-0B00-000005000000}" name="BandName"/>
    <tableColumn id="6" xr3:uid="{00000000-0010-0000-0B00-000006000000}" name="Colour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tabSelected="1"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ht="15.75" x14ac:dyDescent="0.25">
      <c r="A3" s="3" t="s">
        <v>1</v>
      </c>
    </row>
    <row r="4" spans="1:1" ht="30" customHeight="1" x14ac:dyDescent="0.25">
      <c r="A4" s="4" t="s">
        <v>2</v>
      </c>
    </row>
    <row r="5" spans="1:1" x14ac:dyDescent="0.25">
      <c r="A5" s="2"/>
    </row>
    <row r="6" spans="1:1" ht="30" customHeight="1" x14ac:dyDescent="0.25">
      <c r="A6" s="4" t="s">
        <v>3</v>
      </c>
    </row>
    <row r="7" spans="1:1" x14ac:dyDescent="0.25">
      <c r="A7" s="2"/>
    </row>
    <row r="8" spans="1:1" ht="15.75" x14ac:dyDescent="0.25">
      <c r="A8" s="3" t="s">
        <v>4</v>
      </c>
    </row>
    <row r="9" spans="1:1" ht="30" customHeight="1" x14ac:dyDescent="0.25">
      <c r="A9" s="4" t="s">
        <v>5</v>
      </c>
    </row>
    <row r="10" spans="1:1" ht="30" customHeight="1" x14ac:dyDescent="0.25">
      <c r="A10" s="4" t="s">
        <v>6</v>
      </c>
    </row>
    <row r="11" spans="1:1" ht="30" customHeight="1" x14ac:dyDescent="0.25">
      <c r="A11" s="4" t="s">
        <v>7</v>
      </c>
    </row>
    <row r="12" spans="1:1" ht="30" customHeight="1" x14ac:dyDescent="0.25">
      <c r="A12" s="4" t="s">
        <v>8</v>
      </c>
    </row>
    <row r="13" spans="1:1" ht="30" customHeight="1" x14ac:dyDescent="0.25">
      <c r="A13" s="4" t="s">
        <v>9</v>
      </c>
    </row>
    <row r="14" spans="1:1" ht="30" customHeight="1" x14ac:dyDescent="0.25">
      <c r="A14" s="4" t="s">
        <v>10</v>
      </c>
    </row>
    <row r="15" spans="1:1" x14ac:dyDescent="0.25">
      <c r="A15" s="2"/>
    </row>
    <row r="16" spans="1:1" x14ac:dyDescent="0.25">
      <c r="A16" s="5" t="s">
        <v>11</v>
      </c>
    </row>
    <row r="17" spans="1:1" x14ac:dyDescent="0.25">
      <c r="A17" s="2"/>
    </row>
    <row r="18" spans="1:1" ht="15.75" x14ac:dyDescent="0.25">
      <c r="A18" s="3" t="s">
        <v>12</v>
      </c>
    </row>
    <row r="19" spans="1:1" ht="30" customHeight="1" x14ac:dyDescent="0.25">
      <c r="A19" s="4" t="s">
        <v>13</v>
      </c>
    </row>
    <row r="20" spans="1:1" ht="30" customHeight="1" x14ac:dyDescent="0.25">
      <c r="A20" s="4" t="s">
        <v>14</v>
      </c>
    </row>
    <row r="21" spans="1:1" ht="30" customHeight="1" x14ac:dyDescent="0.25">
      <c r="A21" s="4" t="s">
        <v>15</v>
      </c>
    </row>
    <row r="22" spans="1:1" ht="30" customHeight="1" x14ac:dyDescent="0.25">
      <c r="A22" s="4" t="s">
        <v>16</v>
      </c>
    </row>
    <row r="23" spans="1:1" x14ac:dyDescent="0.25">
      <c r="A23" s="2"/>
    </row>
    <row r="24" spans="1:1" x14ac:dyDescent="0.25">
      <c r="A24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/>
  </sheetViews>
  <sheetFormatPr defaultRowHeight="15" x14ac:dyDescent="0.25"/>
  <cols>
    <col min="1" max="1" width="6" customWidth="1"/>
    <col min="2" max="2" width="26" customWidth="1"/>
    <col min="3" max="3" width="12" customWidth="1"/>
  </cols>
  <sheetData>
    <row r="1" spans="1:3" ht="30" x14ac:dyDescent="0.25">
      <c r="A1" s="6" t="s">
        <v>18</v>
      </c>
      <c r="B1" s="6" t="s">
        <v>19</v>
      </c>
      <c r="C1" s="6" t="s">
        <v>20</v>
      </c>
    </row>
    <row r="2" spans="1:3" x14ac:dyDescent="0.25">
      <c r="A2" s="7">
        <v>1</v>
      </c>
      <c r="B2" s="7" t="s">
        <v>21</v>
      </c>
      <c r="C2" s="7" t="s">
        <v>22</v>
      </c>
    </row>
    <row r="3" spans="1:3" x14ac:dyDescent="0.25">
      <c r="A3" s="7">
        <v>2</v>
      </c>
      <c r="B3" s="7" t="s">
        <v>23</v>
      </c>
      <c r="C3" s="7" t="s">
        <v>24</v>
      </c>
    </row>
    <row r="4" spans="1:3" x14ac:dyDescent="0.25">
      <c r="A4" s="7">
        <v>3</v>
      </c>
      <c r="B4" s="7" t="s">
        <v>25</v>
      </c>
      <c r="C4" s="7" t="s">
        <v>26</v>
      </c>
    </row>
    <row r="5" spans="1:3" x14ac:dyDescent="0.25">
      <c r="A5" s="7">
        <v>4</v>
      </c>
      <c r="B5" s="7" t="s">
        <v>27</v>
      </c>
      <c r="C5" s="7" t="s">
        <v>28</v>
      </c>
    </row>
    <row r="6" spans="1:3" x14ac:dyDescent="0.25">
      <c r="A6" s="7">
        <v>5</v>
      </c>
      <c r="B6" s="7" t="s">
        <v>29</v>
      </c>
      <c r="C6" s="7" t="s">
        <v>30</v>
      </c>
    </row>
    <row r="7" spans="1:3" x14ac:dyDescent="0.25">
      <c r="A7" s="7">
        <v>6</v>
      </c>
      <c r="B7" s="7" t="s">
        <v>31</v>
      </c>
      <c r="C7" s="7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/>
  </sheetViews>
  <sheetFormatPr defaultRowHeight="15" x14ac:dyDescent="0.25"/>
  <cols>
    <col min="1" max="1" width="26" customWidth="1"/>
    <col min="2" max="2" width="14" customWidth="1"/>
    <col min="3" max="3" width="10" customWidth="1"/>
    <col min="4" max="4" width="8" customWidth="1"/>
    <col min="5" max="5" width="12" customWidth="1"/>
  </cols>
  <sheetData>
    <row r="1" spans="1:5" ht="30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</row>
    <row r="2" spans="1:5" x14ac:dyDescent="0.25">
      <c r="A2" s="7" t="s">
        <v>38</v>
      </c>
      <c r="B2" s="7" t="s">
        <v>39</v>
      </c>
      <c r="C2" s="7" t="s">
        <v>40</v>
      </c>
      <c r="D2" s="7" t="s">
        <v>41</v>
      </c>
      <c r="E2" s="7">
        <v>1</v>
      </c>
    </row>
    <row r="3" spans="1:5" x14ac:dyDescent="0.25">
      <c r="A3" s="7" t="s">
        <v>42</v>
      </c>
      <c r="B3" s="7" t="s">
        <v>39</v>
      </c>
      <c r="C3" s="7" t="s">
        <v>40</v>
      </c>
      <c r="D3" s="7" t="s">
        <v>43</v>
      </c>
      <c r="E3" s="7">
        <v>2</v>
      </c>
    </row>
    <row r="4" spans="1:5" x14ac:dyDescent="0.25">
      <c r="A4" s="7" t="s">
        <v>44</v>
      </c>
      <c r="B4" s="7" t="s">
        <v>39</v>
      </c>
      <c r="C4" s="7" t="s">
        <v>45</v>
      </c>
      <c r="D4" s="7" t="s">
        <v>46</v>
      </c>
      <c r="E4" s="7">
        <v>3</v>
      </c>
    </row>
    <row r="5" spans="1:5" x14ac:dyDescent="0.25">
      <c r="A5" s="7" t="s">
        <v>47</v>
      </c>
      <c r="B5" s="7" t="s">
        <v>39</v>
      </c>
      <c r="C5" s="7" t="s">
        <v>45</v>
      </c>
      <c r="D5" s="7" t="s">
        <v>48</v>
      </c>
      <c r="E5" s="7">
        <v>4</v>
      </c>
    </row>
    <row r="6" spans="1:5" x14ac:dyDescent="0.25">
      <c r="A6" s="7" t="s">
        <v>49</v>
      </c>
      <c r="B6" s="7" t="s">
        <v>39</v>
      </c>
      <c r="C6" s="7" t="s">
        <v>50</v>
      </c>
      <c r="D6" s="7" t="s">
        <v>51</v>
      </c>
      <c r="E6" s="7">
        <v>5</v>
      </c>
    </row>
    <row r="7" spans="1:5" x14ac:dyDescent="0.25">
      <c r="A7" s="7" t="s">
        <v>52</v>
      </c>
      <c r="B7" s="7" t="s">
        <v>53</v>
      </c>
      <c r="C7" s="7" t="s">
        <v>54</v>
      </c>
      <c r="D7" s="7" t="s">
        <v>41</v>
      </c>
      <c r="E7" s="7">
        <v>1</v>
      </c>
    </row>
    <row r="8" spans="1:5" x14ac:dyDescent="0.25">
      <c r="A8" s="7" t="s">
        <v>55</v>
      </c>
      <c r="B8" s="7" t="s">
        <v>53</v>
      </c>
      <c r="C8" s="7" t="s">
        <v>56</v>
      </c>
      <c r="D8" s="7" t="s">
        <v>43</v>
      </c>
      <c r="E8" s="7">
        <v>2</v>
      </c>
    </row>
    <row r="9" spans="1:5" x14ac:dyDescent="0.25">
      <c r="A9" s="7" t="s">
        <v>57</v>
      </c>
      <c r="B9" s="7" t="s">
        <v>53</v>
      </c>
      <c r="C9" s="7" t="s">
        <v>56</v>
      </c>
      <c r="D9" s="7" t="s">
        <v>46</v>
      </c>
      <c r="E9" s="7">
        <v>3</v>
      </c>
    </row>
    <row r="10" spans="1:5" x14ac:dyDescent="0.25">
      <c r="A10" s="7" t="s">
        <v>58</v>
      </c>
      <c r="B10" s="7" t="s">
        <v>53</v>
      </c>
      <c r="C10" s="7" t="s">
        <v>59</v>
      </c>
      <c r="D10" s="7" t="s">
        <v>48</v>
      </c>
      <c r="E10" s="7">
        <v>4</v>
      </c>
    </row>
    <row r="11" spans="1:5" x14ac:dyDescent="0.25">
      <c r="A11" s="7" t="s">
        <v>60</v>
      </c>
      <c r="B11" s="7" t="s">
        <v>53</v>
      </c>
      <c r="C11" s="7" t="s">
        <v>50</v>
      </c>
      <c r="D11" s="7" t="s">
        <v>51</v>
      </c>
      <c r="E11" s="7">
        <v>5</v>
      </c>
    </row>
    <row r="12" spans="1:5" x14ac:dyDescent="0.25">
      <c r="A12" s="7" t="s">
        <v>61</v>
      </c>
      <c r="B12" s="7" t="s">
        <v>62</v>
      </c>
      <c r="C12" s="7" t="s">
        <v>63</v>
      </c>
      <c r="D12" s="7" t="s">
        <v>46</v>
      </c>
      <c r="E12" s="7">
        <v>3</v>
      </c>
    </row>
    <row r="13" spans="1:5" x14ac:dyDescent="0.25">
      <c r="A13" s="7" t="s">
        <v>64</v>
      </c>
      <c r="B13" s="7" t="s">
        <v>62</v>
      </c>
      <c r="C13" s="7" t="s">
        <v>63</v>
      </c>
      <c r="D13" s="7" t="s">
        <v>48</v>
      </c>
      <c r="E13" s="7">
        <v>4</v>
      </c>
    </row>
    <row r="14" spans="1:5" x14ac:dyDescent="0.25">
      <c r="A14" s="7" t="s">
        <v>65</v>
      </c>
      <c r="B14" s="7" t="s">
        <v>62</v>
      </c>
      <c r="C14" s="7" t="s">
        <v>66</v>
      </c>
      <c r="D14" s="7" t="s">
        <v>51</v>
      </c>
      <c r="E14" s="7">
        <v>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showGridLines="0" workbookViewId="0"/>
  </sheetViews>
  <sheetFormatPr defaultRowHeight="15" x14ac:dyDescent="0.25"/>
  <cols>
    <col min="1" max="2" width="16" customWidth="1"/>
    <col min="3" max="4" width="26" customWidth="1"/>
  </cols>
  <sheetData>
    <row r="1" spans="1:4" x14ac:dyDescent="0.25">
      <c r="A1" s="6" t="s">
        <v>67</v>
      </c>
      <c r="B1" s="6" t="s">
        <v>68</v>
      </c>
      <c r="C1" s="6" t="s">
        <v>69</v>
      </c>
      <c r="D1" s="6" t="s">
        <v>70</v>
      </c>
    </row>
    <row r="2" spans="1:4" x14ac:dyDescent="0.25">
      <c r="A2" s="7" t="s">
        <v>71</v>
      </c>
      <c r="B2" s="7" t="s">
        <v>72</v>
      </c>
      <c r="C2" s="7" t="s">
        <v>38</v>
      </c>
      <c r="D2" s="7" t="str">
        <f t="shared" ref="D2:D33" si="0">A2&amp;" "&amp;B2</f>
        <v>Kevin Johnson</v>
      </c>
    </row>
    <row r="3" spans="1:4" x14ac:dyDescent="0.25">
      <c r="A3" s="7" t="s">
        <v>73</v>
      </c>
      <c r="B3" s="7" t="s">
        <v>74</v>
      </c>
      <c r="C3" s="7" t="s">
        <v>44</v>
      </c>
      <c r="D3" s="7" t="str">
        <f t="shared" si="0"/>
        <v>John Brown</v>
      </c>
    </row>
    <row r="4" spans="1:4" x14ac:dyDescent="0.25">
      <c r="A4" s="7" t="s">
        <v>75</v>
      </c>
      <c r="B4" s="7" t="s">
        <v>72</v>
      </c>
      <c r="C4" s="7" t="s">
        <v>57</v>
      </c>
      <c r="D4" s="7" t="str">
        <f t="shared" si="0"/>
        <v>Chen Johnson</v>
      </c>
    </row>
    <row r="5" spans="1:4" x14ac:dyDescent="0.25">
      <c r="A5" s="7" t="s">
        <v>76</v>
      </c>
      <c r="B5" s="7" t="s">
        <v>77</v>
      </c>
      <c r="C5" s="7" t="s">
        <v>38</v>
      </c>
      <c r="D5" s="7" t="str">
        <f t="shared" si="0"/>
        <v>Thomas Kowalski</v>
      </c>
    </row>
    <row r="6" spans="1:4" x14ac:dyDescent="0.25">
      <c r="A6" s="7" t="s">
        <v>78</v>
      </c>
      <c r="B6" s="7" t="s">
        <v>75</v>
      </c>
      <c r="C6" s="7" t="s">
        <v>38</v>
      </c>
      <c r="D6" s="7" t="str">
        <f t="shared" si="0"/>
        <v>Emma Chen</v>
      </c>
    </row>
    <row r="7" spans="1:4" x14ac:dyDescent="0.25">
      <c r="A7" s="7" t="s">
        <v>79</v>
      </c>
      <c r="B7" s="7" t="s">
        <v>74</v>
      </c>
      <c r="C7" s="7" t="s">
        <v>52</v>
      </c>
      <c r="D7" s="7" t="str">
        <f t="shared" si="0"/>
        <v>Wei Brown</v>
      </c>
    </row>
    <row r="8" spans="1:4" x14ac:dyDescent="0.25">
      <c r="A8" s="7" t="s">
        <v>80</v>
      </c>
      <c r="B8" s="7" t="s">
        <v>77</v>
      </c>
      <c r="C8" s="7" t="s">
        <v>44</v>
      </c>
      <c r="D8" s="7" t="str">
        <f t="shared" si="0"/>
        <v>James Kowalski</v>
      </c>
    </row>
    <row r="9" spans="1:4" x14ac:dyDescent="0.25">
      <c r="A9" s="7" t="s">
        <v>71</v>
      </c>
      <c r="B9" s="7" t="s">
        <v>81</v>
      </c>
      <c r="C9" s="7" t="s">
        <v>55</v>
      </c>
      <c r="D9" s="7" t="str">
        <f t="shared" si="0"/>
        <v>Kevin Haddad</v>
      </c>
    </row>
    <row r="10" spans="1:4" x14ac:dyDescent="0.25">
      <c r="A10" s="7" t="s">
        <v>82</v>
      </c>
      <c r="B10" s="7" t="s">
        <v>83</v>
      </c>
      <c r="C10" s="7" t="s">
        <v>55</v>
      </c>
      <c r="D10" s="7" t="str">
        <f t="shared" si="0"/>
        <v>Fatima Dubois</v>
      </c>
    </row>
    <row r="11" spans="1:4" x14ac:dyDescent="0.25">
      <c r="A11" s="7" t="s">
        <v>84</v>
      </c>
      <c r="B11" s="7" t="s">
        <v>85</v>
      </c>
      <c r="C11" s="7" t="s">
        <v>38</v>
      </c>
      <c r="D11" s="7" t="str">
        <f t="shared" si="0"/>
        <v>Grace Osei</v>
      </c>
    </row>
    <row r="12" spans="1:4" x14ac:dyDescent="0.25">
      <c r="A12" s="7" t="s">
        <v>84</v>
      </c>
      <c r="B12" s="7" t="s">
        <v>86</v>
      </c>
      <c r="C12" s="7" t="s">
        <v>57</v>
      </c>
      <c r="D12" s="7" t="str">
        <f t="shared" si="0"/>
        <v>Grace Kim</v>
      </c>
    </row>
    <row r="13" spans="1:4" x14ac:dyDescent="0.25">
      <c r="A13" s="7" t="s">
        <v>87</v>
      </c>
      <c r="B13" s="7" t="s">
        <v>88</v>
      </c>
      <c r="C13" s="7" t="s">
        <v>42</v>
      </c>
      <c r="D13" s="7" t="str">
        <f t="shared" si="0"/>
        <v>Carlos Singh</v>
      </c>
    </row>
    <row r="14" spans="1:4" x14ac:dyDescent="0.25">
      <c r="A14" s="7" t="s">
        <v>89</v>
      </c>
      <c r="B14" s="7" t="s">
        <v>90</v>
      </c>
      <c r="C14" s="7" t="s">
        <v>38</v>
      </c>
      <c r="D14" s="7" t="str">
        <f t="shared" si="0"/>
        <v>Ibrahim Lee</v>
      </c>
    </row>
    <row r="15" spans="1:4" x14ac:dyDescent="0.25">
      <c r="A15" s="7" t="s">
        <v>91</v>
      </c>
      <c r="B15" s="7" t="s">
        <v>72</v>
      </c>
      <c r="C15" s="7" t="s">
        <v>47</v>
      </c>
      <c r="D15" s="7" t="str">
        <f t="shared" si="0"/>
        <v>Robert Johnson</v>
      </c>
    </row>
    <row r="16" spans="1:4" x14ac:dyDescent="0.25">
      <c r="A16" s="7" t="s">
        <v>92</v>
      </c>
      <c r="B16" s="7" t="s">
        <v>93</v>
      </c>
      <c r="C16" s="7" t="s">
        <v>44</v>
      </c>
      <c r="D16" s="7" t="str">
        <f t="shared" si="0"/>
        <v>Aisha Novak</v>
      </c>
    </row>
    <row r="17" spans="1:4" x14ac:dyDescent="0.25">
      <c r="A17" s="7" t="s">
        <v>94</v>
      </c>
      <c r="B17" s="7" t="s">
        <v>95</v>
      </c>
      <c r="C17" s="7" t="s">
        <v>52</v>
      </c>
      <c r="D17" s="7" t="str">
        <f t="shared" si="0"/>
        <v>Maria Ivanov</v>
      </c>
    </row>
    <row r="18" spans="1:4" x14ac:dyDescent="0.25">
      <c r="A18" s="7" t="s">
        <v>96</v>
      </c>
      <c r="B18" s="7" t="s">
        <v>97</v>
      </c>
      <c r="C18" s="7" t="s">
        <v>47</v>
      </c>
      <c r="D18" s="7" t="str">
        <f t="shared" si="0"/>
        <v>Sarah Fischer</v>
      </c>
    </row>
    <row r="19" spans="1:4" x14ac:dyDescent="0.25">
      <c r="A19" s="7" t="s">
        <v>98</v>
      </c>
      <c r="B19" s="7" t="s">
        <v>99</v>
      </c>
      <c r="C19" s="7" t="s">
        <v>60</v>
      </c>
      <c r="D19" s="7" t="str">
        <f t="shared" si="0"/>
        <v>Yuki Martin</v>
      </c>
    </row>
    <row r="20" spans="1:4" x14ac:dyDescent="0.25">
      <c r="A20" s="7" t="s">
        <v>100</v>
      </c>
      <c r="B20" s="7" t="s">
        <v>101</v>
      </c>
      <c r="C20" s="7" t="s">
        <v>61</v>
      </c>
      <c r="D20" s="7" t="str">
        <f t="shared" si="0"/>
        <v>Laura Tanaka</v>
      </c>
    </row>
    <row r="21" spans="1:4" x14ac:dyDescent="0.25">
      <c r="A21" s="7" t="s">
        <v>102</v>
      </c>
      <c r="B21" s="7" t="s">
        <v>103</v>
      </c>
      <c r="C21" s="7" t="s">
        <v>57</v>
      </c>
      <c r="D21" s="7" t="str">
        <f t="shared" si="0"/>
        <v>Omar Nguyen</v>
      </c>
    </row>
    <row r="22" spans="1:4" x14ac:dyDescent="0.25">
      <c r="A22" s="7" t="s">
        <v>94</v>
      </c>
      <c r="B22" s="7" t="s">
        <v>104</v>
      </c>
      <c r="C22" s="7" t="s">
        <v>44</v>
      </c>
      <c r="D22" s="7" t="str">
        <f t="shared" si="0"/>
        <v>Maria Murphy</v>
      </c>
    </row>
    <row r="23" spans="1:4" x14ac:dyDescent="0.25">
      <c r="A23" s="7" t="s">
        <v>105</v>
      </c>
      <c r="B23" s="7" t="s">
        <v>106</v>
      </c>
      <c r="C23" s="7" t="s">
        <v>61</v>
      </c>
      <c r="D23" s="7" t="str">
        <f t="shared" si="0"/>
        <v>Anna Patel</v>
      </c>
    </row>
    <row r="24" spans="1:4" x14ac:dyDescent="0.25">
      <c r="A24" s="7" t="s">
        <v>107</v>
      </c>
      <c r="B24" s="7" t="s">
        <v>72</v>
      </c>
      <c r="C24" s="7" t="s">
        <v>47</v>
      </c>
      <c r="D24" s="7" t="str">
        <f t="shared" si="0"/>
        <v>Leila Johnson</v>
      </c>
    </row>
    <row r="25" spans="1:4" x14ac:dyDescent="0.25">
      <c r="A25" s="7" t="s">
        <v>108</v>
      </c>
      <c r="B25" s="7" t="s">
        <v>109</v>
      </c>
      <c r="C25" s="7" t="s">
        <v>60</v>
      </c>
      <c r="D25" s="7" t="str">
        <f t="shared" si="0"/>
        <v>Ahmed Cohen</v>
      </c>
    </row>
    <row r="26" spans="1:4" x14ac:dyDescent="0.25">
      <c r="A26" s="7" t="s">
        <v>110</v>
      </c>
      <c r="B26" s="7" t="s">
        <v>111</v>
      </c>
      <c r="C26" s="7" t="s">
        <v>47</v>
      </c>
      <c r="D26" s="7" t="str">
        <f t="shared" si="0"/>
        <v>Priya Khan</v>
      </c>
    </row>
    <row r="27" spans="1:4" x14ac:dyDescent="0.25">
      <c r="A27" s="7" t="s">
        <v>112</v>
      </c>
      <c r="B27" s="7" t="s">
        <v>88</v>
      </c>
      <c r="C27" s="7" t="s">
        <v>57</v>
      </c>
      <c r="D27" s="7" t="str">
        <f t="shared" si="0"/>
        <v>Nadia Singh</v>
      </c>
    </row>
    <row r="28" spans="1:4" x14ac:dyDescent="0.25">
      <c r="A28" s="7" t="s">
        <v>112</v>
      </c>
      <c r="B28" s="7" t="s">
        <v>109</v>
      </c>
      <c r="C28" s="7" t="s">
        <v>38</v>
      </c>
      <c r="D28" s="7" t="str">
        <f t="shared" si="0"/>
        <v>Nadia Cohen</v>
      </c>
    </row>
    <row r="29" spans="1:4" x14ac:dyDescent="0.25">
      <c r="A29" s="7" t="s">
        <v>71</v>
      </c>
      <c r="B29" s="7" t="s">
        <v>86</v>
      </c>
      <c r="C29" s="7" t="s">
        <v>52</v>
      </c>
      <c r="D29" s="7" t="str">
        <f t="shared" si="0"/>
        <v>Kevin Kim</v>
      </c>
    </row>
    <row r="30" spans="1:4" x14ac:dyDescent="0.25">
      <c r="A30" s="7" t="s">
        <v>82</v>
      </c>
      <c r="B30" s="7" t="s">
        <v>86</v>
      </c>
      <c r="C30" s="7" t="s">
        <v>52</v>
      </c>
      <c r="D30" s="7" t="str">
        <f t="shared" si="0"/>
        <v>Fatima Kim</v>
      </c>
    </row>
    <row r="31" spans="1:4" x14ac:dyDescent="0.25">
      <c r="A31" s="7" t="s">
        <v>73</v>
      </c>
      <c r="B31" s="7" t="s">
        <v>97</v>
      </c>
      <c r="C31" s="7" t="s">
        <v>55</v>
      </c>
      <c r="D31" s="7" t="str">
        <f t="shared" si="0"/>
        <v>John Fischer</v>
      </c>
    </row>
    <row r="32" spans="1:4" x14ac:dyDescent="0.25">
      <c r="A32" s="7" t="s">
        <v>98</v>
      </c>
      <c r="B32" s="7" t="s">
        <v>74</v>
      </c>
      <c r="C32" s="7" t="s">
        <v>57</v>
      </c>
      <c r="D32" s="7" t="str">
        <f t="shared" si="0"/>
        <v>Yuki Brown</v>
      </c>
    </row>
    <row r="33" spans="1:4" x14ac:dyDescent="0.25">
      <c r="A33" s="7" t="s">
        <v>113</v>
      </c>
      <c r="B33" s="7" t="s">
        <v>114</v>
      </c>
      <c r="C33" s="7" t="s">
        <v>58</v>
      </c>
      <c r="D33" s="7" t="str">
        <f t="shared" si="0"/>
        <v>Marc Costa</v>
      </c>
    </row>
    <row r="34" spans="1:4" x14ac:dyDescent="0.25">
      <c r="A34" s="7" t="s">
        <v>82</v>
      </c>
      <c r="B34" s="7" t="s">
        <v>115</v>
      </c>
      <c r="C34" s="7" t="s">
        <v>38</v>
      </c>
      <c r="D34" s="7" t="str">
        <f t="shared" ref="D34:D65" si="1">A34&amp;" "&amp;B34</f>
        <v>Fatima Petit</v>
      </c>
    </row>
    <row r="35" spans="1:4" x14ac:dyDescent="0.25">
      <c r="A35" s="7" t="s">
        <v>87</v>
      </c>
      <c r="B35" s="7" t="s">
        <v>116</v>
      </c>
      <c r="C35" s="7" t="s">
        <v>44</v>
      </c>
      <c r="D35" s="7" t="str">
        <f t="shared" si="1"/>
        <v>Carlos Wilson</v>
      </c>
    </row>
    <row r="36" spans="1:4" x14ac:dyDescent="0.25">
      <c r="A36" s="7" t="s">
        <v>79</v>
      </c>
      <c r="B36" s="7" t="s">
        <v>97</v>
      </c>
      <c r="C36" s="7" t="s">
        <v>64</v>
      </c>
      <c r="D36" s="7" t="str">
        <f t="shared" si="1"/>
        <v>Wei Fischer</v>
      </c>
    </row>
    <row r="37" spans="1:4" x14ac:dyDescent="0.25">
      <c r="A37" s="7" t="s">
        <v>76</v>
      </c>
      <c r="B37" s="7" t="s">
        <v>81</v>
      </c>
      <c r="C37" s="7" t="s">
        <v>47</v>
      </c>
      <c r="D37" s="7" t="str">
        <f t="shared" si="1"/>
        <v>Thomas Haddad</v>
      </c>
    </row>
    <row r="38" spans="1:4" x14ac:dyDescent="0.25">
      <c r="A38" s="7" t="s">
        <v>71</v>
      </c>
      <c r="B38" s="7" t="s">
        <v>117</v>
      </c>
      <c r="C38" s="7" t="s">
        <v>49</v>
      </c>
      <c r="D38" s="7" t="str">
        <f t="shared" si="1"/>
        <v>Kevin Andersson</v>
      </c>
    </row>
    <row r="39" spans="1:4" x14ac:dyDescent="0.25">
      <c r="A39" s="7" t="s">
        <v>118</v>
      </c>
      <c r="B39" s="7" t="s">
        <v>109</v>
      </c>
      <c r="C39" s="7" t="s">
        <v>52</v>
      </c>
      <c r="D39" s="7" t="str">
        <f t="shared" si="1"/>
        <v>Elena Cohen</v>
      </c>
    </row>
    <row r="40" spans="1:4" x14ac:dyDescent="0.25">
      <c r="A40" s="7" t="s">
        <v>73</v>
      </c>
      <c r="B40" s="7" t="s">
        <v>119</v>
      </c>
      <c r="C40" s="7" t="s">
        <v>44</v>
      </c>
      <c r="D40" s="7" t="str">
        <f t="shared" si="1"/>
        <v>John Garcia</v>
      </c>
    </row>
    <row r="41" spans="1:4" x14ac:dyDescent="0.25">
      <c r="A41" s="7" t="s">
        <v>98</v>
      </c>
      <c r="B41" s="7" t="s">
        <v>77</v>
      </c>
      <c r="C41" s="7" t="s">
        <v>44</v>
      </c>
      <c r="D41" s="7" t="str">
        <f t="shared" si="1"/>
        <v>Yuki Kowalski</v>
      </c>
    </row>
    <row r="42" spans="1:4" x14ac:dyDescent="0.25">
      <c r="A42" s="7" t="s">
        <v>102</v>
      </c>
      <c r="B42" s="7" t="s">
        <v>120</v>
      </c>
      <c r="C42" s="7" t="s">
        <v>61</v>
      </c>
      <c r="D42" s="7" t="str">
        <f t="shared" si="1"/>
        <v>Omar Rossi</v>
      </c>
    </row>
    <row r="43" spans="1:4" x14ac:dyDescent="0.25">
      <c r="A43" s="7" t="s">
        <v>91</v>
      </c>
      <c r="B43" s="7" t="s">
        <v>111</v>
      </c>
      <c r="C43" s="7" t="s">
        <v>44</v>
      </c>
      <c r="D43" s="7" t="str">
        <f t="shared" si="1"/>
        <v>Robert Khan</v>
      </c>
    </row>
    <row r="44" spans="1:4" x14ac:dyDescent="0.25">
      <c r="A44" s="7" t="s">
        <v>121</v>
      </c>
      <c r="B44" s="7" t="s">
        <v>122</v>
      </c>
      <c r="C44" s="7" t="s">
        <v>52</v>
      </c>
      <c r="D44" s="7" t="str">
        <f t="shared" si="1"/>
        <v>Michael Silva</v>
      </c>
    </row>
    <row r="45" spans="1:4" x14ac:dyDescent="0.25">
      <c r="A45" s="7" t="s">
        <v>89</v>
      </c>
      <c r="B45" s="7" t="s">
        <v>75</v>
      </c>
      <c r="C45" s="7" t="s">
        <v>61</v>
      </c>
      <c r="D45" s="7" t="str">
        <f t="shared" si="1"/>
        <v>Ibrahim Chen</v>
      </c>
    </row>
    <row r="46" spans="1:4" x14ac:dyDescent="0.25">
      <c r="A46" s="7" t="s">
        <v>121</v>
      </c>
      <c r="B46" s="7" t="s">
        <v>109</v>
      </c>
      <c r="C46" s="7" t="s">
        <v>42</v>
      </c>
      <c r="D46" s="7" t="str">
        <f t="shared" si="1"/>
        <v>Michael Cohen</v>
      </c>
    </row>
    <row r="47" spans="1:4" x14ac:dyDescent="0.25">
      <c r="A47" s="7" t="s">
        <v>112</v>
      </c>
      <c r="B47" s="7" t="s">
        <v>120</v>
      </c>
      <c r="C47" s="7" t="s">
        <v>55</v>
      </c>
      <c r="D47" s="7" t="str">
        <f t="shared" si="1"/>
        <v>Nadia Rossi</v>
      </c>
    </row>
    <row r="48" spans="1:4" x14ac:dyDescent="0.25">
      <c r="A48" s="7" t="s">
        <v>91</v>
      </c>
      <c r="B48" s="7" t="s">
        <v>116</v>
      </c>
      <c r="C48" s="7" t="s">
        <v>55</v>
      </c>
      <c r="D48" s="7" t="str">
        <f t="shared" si="1"/>
        <v>Robert Wilson</v>
      </c>
    </row>
    <row r="49" spans="1:4" x14ac:dyDescent="0.25">
      <c r="A49" s="7" t="s">
        <v>108</v>
      </c>
      <c r="B49" s="7" t="s">
        <v>122</v>
      </c>
      <c r="C49" s="7" t="s">
        <v>44</v>
      </c>
      <c r="D49" s="7" t="str">
        <f t="shared" si="1"/>
        <v>Ahmed Silva</v>
      </c>
    </row>
    <row r="50" spans="1:4" x14ac:dyDescent="0.25">
      <c r="A50" s="7" t="s">
        <v>98</v>
      </c>
      <c r="B50" s="7" t="s">
        <v>85</v>
      </c>
      <c r="C50" s="7" t="s">
        <v>64</v>
      </c>
      <c r="D50" s="7" t="str">
        <f t="shared" si="1"/>
        <v>Yuki Osei</v>
      </c>
    </row>
    <row r="51" spans="1:4" x14ac:dyDescent="0.25">
      <c r="A51" s="7" t="s">
        <v>112</v>
      </c>
      <c r="B51" s="7" t="s">
        <v>95</v>
      </c>
      <c r="C51" s="7" t="s">
        <v>38</v>
      </c>
      <c r="D51" s="7" t="str">
        <f t="shared" si="1"/>
        <v>Nadia Ivanov</v>
      </c>
    </row>
    <row r="52" spans="1:4" x14ac:dyDescent="0.25">
      <c r="A52" s="7" t="s">
        <v>89</v>
      </c>
      <c r="B52" s="7" t="s">
        <v>88</v>
      </c>
      <c r="C52" s="7" t="s">
        <v>58</v>
      </c>
      <c r="D52" s="7" t="str">
        <f t="shared" si="1"/>
        <v>Ibrahim Singh</v>
      </c>
    </row>
    <row r="53" spans="1:4" x14ac:dyDescent="0.25">
      <c r="A53" s="7" t="s">
        <v>87</v>
      </c>
      <c r="B53" s="7" t="s">
        <v>72</v>
      </c>
      <c r="C53" s="7" t="s">
        <v>44</v>
      </c>
      <c r="D53" s="7" t="str">
        <f t="shared" si="1"/>
        <v>Carlos Johnson</v>
      </c>
    </row>
    <row r="54" spans="1:4" x14ac:dyDescent="0.25">
      <c r="A54" s="7" t="s">
        <v>110</v>
      </c>
      <c r="B54" s="7" t="s">
        <v>83</v>
      </c>
      <c r="C54" s="7" t="s">
        <v>38</v>
      </c>
      <c r="D54" s="7" t="str">
        <f t="shared" si="1"/>
        <v>Priya Dubois</v>
      </c>
    </row>
    <row r="55" spans="1:4" x14ac:dyDescent="0.25">
      <c r="A55" s="7" t="s">
        <v>75</v>
      </c>
      <c r="B55" s="7" t="s">
        <v>101</v>
      </c>
      <c r="C55" s="7" t="s">
        <v>57</v>
      </c>
      <c r="D55" s="7" t="str">
        <f t="shared" si="1"/>
        <v>Chen Tanaka</v>
      </c>
    </row>
    <row r="56" spans="1:4" x14ac:dyDescent="0.25">
      <c r="A56" s="7" t="s">
        <v>123</v>
      </c>
      <c r="B56" s="7" t="s">
        <v>114</v>
      </c>
      <c r="C56" s="7" t="s">
        <v>42</v>
      </c>
      <c r="D56" s="7" t="str">
        <f t="shared" si="1"/>
        <v>Daniel Costa</v>
      </c>
    </row>
    <row r="57" spans="1:4" x14ac:dyDescent="0.25">
      <c r="A57" s="7" t="s">
        <v>118</v>
      </c>
      <c r="B57" s="7" t="s">
        <v>72</v>
      </c>
      <c r="C57" s="7" t="s">
        <v>61</v>
      </c>
      <c r="D57" s="7" t="str">
        <f t="shared" si="1"/>
        <v>Elena Johnson</v>
      </c>
    </row>
    <row r="58" spans="1:4" x14ac:dyDescent="0.25">
      <c r="A58" s="7" t="s">
        <v>105</v>
      </c>
      <c r="B58" s="7" t="s">
        <v>115</v>
      </c>
      <c r="C58" s="7" t="s">
        <v>55</v>
      </c>
      <c r="D58" s="7" t="str">
        <f t="shared" si="1"/>
        <v>Anna Petit</v>
      </c>
    </row>
    <row r="59" spans="1:4" x14ac:dyDescent="0.25">
      <c r="A59" s="7" t="s">
        <v>100</v>
      </c>
      <c r="B59" s="7" t="s">
        <v>103</v>
      </c>
      <c r="C59" s="7" t="s">
        <v>42</v>
      </c>
      <c r="D59" s="7" t="str">
        <f t="shared" si="1"/>
        <v>Laura Nguyen</v>
      </c>
    </row>
    <row r="60" spans="1:4" x14ac:dyDescent="0.25">
      <c r="A60" s="7" t="s">
        <v>89</v>
      </c>
      <c r="B60" s="7" t="s">
        <v>86</v>
      </c>
      <c r="C60" s="7" t="s">
        <v>55</v>
      </c>
      <c r="D60" s="7" t="str">
        <f t="shared" si="1"/>
        <v>Ibrahim Kim</v>
      </c>
    </row>
    <row r="61" spans="1:4" x14ac:dyDescent="0.25">
      <c r="A61" s="7" t="s">
        <v>89</v>
      </c>
      <c r="B61" s="7" t="s">
        <v>97</v>
      </c>
      <c r="C61" s="7" t="s">
        <v>52</v>
      </c>
      <c r="D61" s="7" t="str">
        <f t="shared" si="1"/>
        <v>Ibrahim Fischer</v>
      </c>
    </row>
    <row r="62" spans="1:4" x14ac:dyDescent="0.25">
      <c r="A62" s="7" t="s">
        <v>80</v>
      </c>
      <c r="B62" s="7" t="s">
        <v>93</v>
      </c>
      <c r="C62" s="7" t="s">
        <v>47</v>
      </c>
      <c r="D62" s="7" t="str">
        <f t="shared" si="1"/>
        <v>James Novak</v>
      </c>
    </row>
    <row r="63" spans="1:4" x14ac:dyDescent="0.25">
      <c r="A63" s="7" t="s">
        <v>80</v>
      </c>
      <c r="B63" s="7" t="s">
        <v>72</v>
      </c>
      <c r="C63" s="7" t="s">
        <v>64</v>
      </c>
      <c r="D63" s="7" t="str">
        <f t="shared" si="1"/>
        <v>James Johnson</v>
      </c>
    </row>
    <row r="64" spans="1:4" x14ac:dyDescent="0.25">
      <c r="A64" s="7" t="s">
        <v>76</v>
      </c>
      <c r="B64" s="7" t="s">
        <v>115</v>
      </c>
      <c r="C64" s="7" t="s">
        <v>58</v>
      </c>
      <c r="D64" s="7" t="str">
        <f t="shared" si="1"/>
        <v>Thomas Petit</v>
      </c>
    </row>
    <row r="65" spans="1:4" x14ac:dyDescent="0.25">
      <c r="A65" s="7" t="s">
        <v>82</v>
      </c>
      <c r="B65" s="7" t="s">
        <v>75</v>
      </c>
      <c r="C65" s="7" t="s">
        <v>44</v>
      </c>
      <c r="D65" s="7" t="str">
        <f t="shared" si="1"/>
        <v>Fatima Chen</v>
      </c>
    </row>
    <row r="66" spans="1:4" x14ac:dyDescent="0.25">
      <c r="A66" s="7" t="s">
        <v>102</v>
      </c>
      <c r="B66" s="7" t="s">
        <v>106</v>
      </c>
      <c r="C66" s="7" t="s">
        <v>38</v>
      </c>
      <c r="D66" s="7" t="str">
        <f t="shared" ref="D66:D101" si="2">A66&amp;" "&amp;B66</f>
        <v>Omar Patel</v>
      </c>
    </row>
    <row r="67" spans="1:4" x14ac:dyDescent="0.25">
      <c r="A67" s="7" t="s">
        <v>124</v>
      </c>
      <c r="B67" s="7" t="s">
        <v>115</v>
      </c>
      <c r="C67" s="7" t="s">
        <v>38</v>
      </c>
      <c r="D67" s="7" t="str">
        <f t="shared" si="2"/>
        <v>Sophie Petit</v>
      </c>
    </row>
    <row r="68" spans="1:4" x14ac:dyDescent="0.25">
      <c r="A68" s="7" t="s">
        <v>89</v>
      </c>
      <c r="B68" s="7" t="s">
        <v>77</v>
      </c>
      <c r="C68" s="7" t="s">
        <v>58</v>
      </c>
      <c r="D68" s="7" t="str">
        <f t="shared" si="2"/>
        <v>Ibrahim Kowalski</v>
      </c>
    </row>
    <row r="69" spans="1:4" x14ac:dyDescent="0.25">
      <c r="A69" s="7" t="s">
        <v>121</v>
      </c>
      <c r="B69" s="7" t="s">
        <v>104</v>
      </c>
      <c r="C69" s="7" t="s">
        <v>52</v>
      </c>
      <c r="D69" s="7" t="str">
        <f t="shared" si="2"/>
        <v>Michael Murphy</v>
      </c>
    </row>
    <row r="70" spans="1:4" x14ac:dyDescent="0.25">
      <c r="A70" s="7" t="s">
        <v>98</v>
      </c>
      <c r="B70" s="7" t="s">
        <v>86</v>
      </c>
      <c r="C70" s="7" t="s">
        <v>44</v>
      </c>
      <c r="D70" s="7" t="str">
        <f t="shared" si="2"/>
        <v>Yuki Kim</v>
      </c>
    </row>
    <row r="71" spans="1:4" x14ac:dyDescent="0.25">
      <c r="A71" s="7" t="s">
        <v>107</v>
      </c>
      <c r="B71" s="7" t="s">
        <v>93</v>
      </c>
      <c r="C71" s="7" t="s">
        <v>52</v>
      </c>
      <c r="D71" s="7" t="str">
        <f t="shared" si="2"/>
        <v>Leila Novak</v>
      </c>
    </row>
    <row r="72" spans="1:4" x14ac:dyDescent="0.25">
      <c r="A72" s="7" t="s">
        <v>98</v>
      </c>
      <c r="B72" s="7" t="s">
        <v>114</v>
      </c>
      <c r="C72" s="7" t="s">
        <v>57</v>
      </c>
      <c r="D72" s="7" t="str">
        <f t="shared" si="2"/>
        <v>Yuki Costa</v>
      </c>
    </row>
    <row r="73" spans="1:4" x14ac:dyDescent="0.25">
      <c r="A73" s="7" t="s">
        <v>79</v>
      </c>
      <c r="B73" s="7" t="s">
        <v>81</v>
      </c>
      <c r="C73" s="7" t="s">
        <v>47</v>
      </c>
      <c r="D73" s="7" t="str">
        <f t="shared" si="2"/>
        <v>Wei Haddad</v>
      </c>
    </row>
    <row r="74" spans="1:4" x14ac:dyDescent="0.25">
      <c r="A74" s="7" t="s">
        <v>92</v>
      </c>
      <c r="B74" s="7" t="s">
        <v>83</v>
      </c>
      <c r="C74" s="7" t="s">
        <v>61</v>
      </c>
      <c r="D74" s="7" t="str">
        <f t="shared" si="2"/>
        <v>Aisha Dubois</v>
      </c>
    </row>
    <row r="75" spans="1:4" x14ac:dyDescent="0.25">
      <c r="A75" s="7" t="s">
        <v>108</v>
      </c>
      <c r="B75" s="7" t="s">
        <v>72</v>
      </c>
      <c r="C75" s="7" t="s">
        <v>44</v>
      </c>
      <c r="D75" s="7" t="str">
        <f t="shared" si="2"/>
        <v>Ahmed Johnson</v>
      </c>
    </row>
    <row r="76" spans="1:4" x14ac:dyDescent="0.25">
      <c r="A76" s="7" t="s">
        <v>125</v>
      </c>
      <c r="B76" s="7" t="s">
        <v>90</v>
      </c>
      <c r="C76" s="7" t="s">
        <v>38</v>
      </c>
      <c r="D76" s="7" t="str">
        <f t="shared" si="2"/>
        <v>David Lee</v>
      </c>
    </row>
    <row r="77" spans="1:4" x14ac:dyDescent="0.25">
      <c r="A77" s="7" t="s">
        <v>102</v>
      </c>
      <c r="B77" s="7" t="s">
        <v>74</v>
      </c>
      <c r="C77" s="7" t="s">
        <v>38</v>
      </c>
      <c r="D77" s="7" t="str">
        <f t="shared" si="2"/>
        <v>Omar Brown</v>
      </c>
    </row>
    <row r="78" spans="1:4" x14ac:dyDescent="0.25">
      <c r="A78" s="7" t="s">
        <v>126</v>
      </c>
      <c r="B78" s="7" t="s">
        <v>109</v>
      </c>
      <c r="C78" s="7" t="s">
        <v>38</v>
      </c>
      <c r="D78" s="7" t="str">
        <f t="shared" si="2"/>
        <v>Peter Cohen</v>
      </c>
    </row>
    <row r="79" spans="1:4" x14ac:dyDescent="0.25">
      <c r="A79" s="7" t="s">
        <v>125</v>
      </c>
      <c r="B79" s="7" t="s">
        <v>101</v>
      </c>
      <c r="C79" s="7" t="s">
        <v>38</v>
      </c>
      <c r="D79" s="7" t="str">
        <f t="shared" si="2"/>
        <v>David Tanaka</v>
      </c>
    </row>
    <row r="80" spans="1:4" x14ac:dyDescent="0.25">
      <c r="A80" s="7" t="s">
        <v>87</v>
      </c>
      <c r="B80" s="7" t="s">
        <v>106</v>
      </c>
      <c r="C80" s="7" t="s">
        <v>52</v>
      </c>
      <c r="D80" s="7" t="str">
        <f t="shared" si="2"/>
        <v>Carlos Patel</v>
      </c>
    </row>
    <row r="81" spans="1:4" x14ac:dyDescent="0.25">
      <c r="A81" s="7" t="s">
        <v>73</v>
      </c>
      <c r="B81" s="7" t="s">
        <v>104</v>
      </c>
      <c r="C81" s="7" t="s">
        <v>52</v>
      </c>
      <c r="D81" s="7" t="str">
        <f t="shared" si="2"/>
        <v>John Murphy</v>
      </c>
    </row>
    <row r="82" spans="1:4" x14ac:dyDescent="0.25">
      <c r="A82" s="7" t="s">
        <v>98</v>
      </c>
      <c r="B82" s="7" t="s">
        <v>119</v>
      </c>
      <c r="C82" s="7" t="s">
        <v>57</v>
      </c>
      <c r="D82" s="7" t="str">
        <f t="shared" si="2"/>
        <v>Yuki Garcia</v>
      </c>
    </row>
    <row r="83" spans="1:4" x14ac:dyDescent="0.25">
      <c r="A83" s="7" t="s">
        <v>76</v>
      </c>
      <c r="B83" s="7" t="s">
        <v>127</v>
      </c>
      <c r="C83" s="7" t="s">
        <v>55</v>
      </c>
      <c r="D83" s="7" t="str">
        <f t="shared" si="2"/>
        <v>Thomas Yamamoto</v>
      </c>
    </row>
    <row r="84" spans="1:4" x14ac:dyDescent="0.25">
      <c r="A84" s="7" t="s">
        <v>82</v>
      </c>
      <c r="B84" s="7" t="s">
        <v>128</v>
      </c>
      <c r="C84" s="7" t="s">
        <v>52</v>
      </c>
      <c r="D84" s="7" t="str">
        <f t="shared" si="2"/>
        <v>Fatima Larsen</v>
      </c>
    </row>
    <row r="85" spans="1:4" x14ac:dyDescent="0.25">
      <c r="A85" s="7" t="s">
        <v>78</v>
      </c>
      <c r="B85" s="7" t="s">
        <v>103</v>
      </c>
      <c r="C85" s="7" t="s">
        <v>38</v>
      </c>
      <c r="D85" s="7" t="str">
        <f t="shared" si="2"/>
        <v>Emma Nguyen</v>
      </c>
    </row>
    <row r="86" spans="1:4" x14ac:dyDescent="0.25">
      <c r="A86" s="7" t="s">
        <v>92</v>
      </c>
      <c r="B86" s="7" t="s">
        <v>120</v>
      </c>
      <c r="C86" s="7" t="s">
        <v>49</v>
      </c>
      <c r="D86" s="7" t="str">
        <f t="shared" si="2"/>
        <v>Aisha Rossi</v>
      </c>
    </row>
    <row r="87" spans="1:4" x14ac:dyDescent="0.25">
      <c r="A87" s="7" t="s">
        <v>107</v>
      </c>
      <c r="B87" s="7" t="s">
        <v>95</v>
      </c>
      <c r="C87" s="7" t="s">
        <v>38</v>
      </c>
      <c r="D87" s="7" t="str">
        <f t="shared" si="2"/>
        <v>Leila Ivanov</v>
      </c>
    </row>
    <row r="88" spans="1:4" x14ac:dyDescent="0.25">
      <c r="A88" s="7" t="s">
        <v>71</v>
      </c>
      <c r="B88" s="7" t="s">
        <v>109</v>
      </c>
      <c r="C88" s="7" t="s">
        <v>38</v>
      </c>
      <c r="D88" s="7" t="str">
        <f t="shared" si="2"/>
        <v>Kevin Cohen</v>
      </c>
    </row>
    <row r="89" spans="1:4" x14ac:dyDescent="0.25">
      <c r="A89" s="7" t="s">
        <v>91</v>
      </c>
      <c r="B89" s="7" t="s">
        <v>95</v>
      </c>
      <c r="C89" s="7" t="s">
        <v>47</v>
      </c>
      <c r="D89" s="7" t="str">
        <f t="shared" si="2"/>
        <v>Robert Ivanov</v>
      </c>
    </row>
    <row r="90" spans="1:4" x14ac:dyDescent="0.25">
      <c r="A90" s="7" t="s">
        <v>82</v>
      </c>
      <c r="B90" s="7" t="s">
        <v>103</v>
      </c>
      <c r="C90" s="7" t="s">
        <v>42</v>
      </c>
      <c r="D90" s="7" t="str">
        <f t="shared" si="2"/>
        <v>Fatima Nguyen</v>
      </c>
    </row>
    <row r="91" spans="1:4" x14ac:dyDescent="0.25">
      <c r="A91" s="7" t="s">
        <v>108</v>
      </c>
      <c r="B91" s="7" t="s">
        <v>119</v>
      </c>
      <c r="C91" s="7" t="s">
        <v>49</v>
      </c>
      <c r="D91" s="7" t="str">
        <f t="shared" si="2"/>
        <v>Ahmed Garcia</v>
      </c>
    </row>
    <row r="92" spans="1:4" x14ac:dyDescent="0.25">
      <c r="A92" s="7" t="s">
        <v>73</v>
      </c>
      <c r="B92" s="7" t="s">
        <v>83</v>
      </c>
      <c r="C92" s="7" t="s">
        <v>44</v>
      </c>
      <c r="D92" s="7" t="str">
        <f t="shared" si="2"/>
        <v>John Dubois</v>
      </c>
    </row>
    <row r="93" spans="1:4" x14ac:dyDescent="0.25">
      <c r="A93" s="7" t="s">
        <v>118</v>
      </c>
      <c r="B93" s="7" t="s">
        <v>106</v>
      </c>
      <c r="C93" s="7" t="s">
        <v>52</v>
      </c>
      <c r="D93" s="7" t="str">
        <f t="shared" si="2"/>
        <v>Elena Patel</v>
      </c>
    </row>
    <row r="94" spans="1:4" x14ac:dyDescent="0.25">
      <c r="A94" s="7" t="s">
        <v>107</v>
      </c>
      <c r="B94" s="7" t="s">
        <v>85</v>
      </c>
      <c r="C94" s="7" t="s">
        <v>55</v>
      </c>
      <c r="D94" s="7" t="str">
        <f t="shared" si="2"/>
        <v>Leila Osei</v>
      </c>
    </row>
    <row r="95" spans="1:4" x14ac:dyDescent="0.25">
      <c r="A95" s="7" t="s">
        <v>94</v>
      </c>
      <c r="B95" s="7" t="s">
        <v>109</v>
      </c>
      <c r="C95" s="7" t="s">
        <v>65</v>
      </c>
      <c r="D95" s="7" t="str">
        <f t="shared" si="2"/>
        <v>Maria Cohen</v>
      </c>
    </row>
    <row r="96" spans="1:4" x14ac:dyDescent="0.25">
      <c r="A96" s="7" t="s">
        <v>113</v>
      </c>
      <c r="B96" s="7" t="s">
        <v>129</v>
      </c>
      <c r="C96" s="7" t="s">
        <v>65</v>
      </c>
      <c r="D96" s="7" t="str">
        <f t="shared" si="2"/>
        <v>Marc Smith</v>
      </c>
    </row>
    <row r="97" spans="1:4" x14ac:dyDescent="0.25">
      <c r="A97" s="7" t="s">
        <v>118</v>
      </c>
      <c r="B97" s="7" t="s">
        <v>114</v>
      </c>
      <c r="C97" s="7" t="s">
        <v>61</v>
      </c>
      <c r="D97" s="7" t="str">
        <f t="shared" si="2"/>
        <v>Elena Costa</v>
      </c>
    </row>
    <row r="98" spans="1:4" x14ac:dyDescent="0.25">
      <c r="A98" s="7" t="s">
        <v>110</v>
      </c>
      <c r="B98" s="7" t="s">
        <v>120</v>
      </c>
      <c r="C98" s="7" t="s">
        <v>52</v>
      </c>
      <c r="D98" s="7" t="str">
        <f t="shared" si="2"/>
        <v>Priya Rossi</v>
      </c>
    </row>
    <row r="99" spans="1:4" x14ac:dyDescent="0.25">
      <c r="A99" s="7" t="s">
        <v>79</v>
      </c>
      <c r="B99" s="7" t="s">
        <v>85</v>
      </c>
      <c r="C99" s="7" t="s">
        <v>49</v>
      </c>
      <c r="D99" s="7" t="str">
        <f t="shared" si="2"/>
        <v>Wei Osei</v>
      </c>
    </row>
    <row r="100" spans="1:4" x14ac:dyDescent="0.25">
      <c r="A100" s="7" t="s">
        <v>94</v>
      </c>
      <c r="B100" s="7" t="s">
        <v>86</v>
      </c>
      <c r="C100" s="7" t="s">
        <v>47</v>
      </c>
      <c r="D100" s="7" t="str">
        <f t="shared" si="2"/>
        <v>Maria Kim</v>
      </c>
    </row>
    <row r="101" spans="1:4" x14ac:dyDescent="0.25">
      <c r="A101" s="7" t="s">
        <v>91</v>
      </c>
      <c r="B101" s="7" t="s">
        <v>88</v>
      </c>
      <c r="C101" s="7" t="s">
        <v>64</v>
      </c>
      <c r="D101" s="7" t="str">
        <f t="shared" si="2"/>
        <v>Robert Singh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5"/>
  <sheetViews>
    <sheetView showGridLines="0" workbookViewId="0"/>
  </sheetViews>
  <sheetFormatPr defaultRowHeight="15" x14ac:dyDescent="0.25"/>
  <cols>
    <col min="1" max="1" width="26" customWidth="1"/>
    <col min="2" max="2" width="12" customWidth="1"/>
  </cols>
  <sheetData>
    <row r="1" spans="1:2" ht="30" x14ac:dyDescent="0.25">
      <c r="A1" s="6" t="s">
        <v>130</v>
      </c>
      <c r="B1" s="6" t="s">
        <v>20</v>
      </c>
    </row>
    <row r="2" spans="1:2" x14ac:dyDescent="0.25">
      <c r="A2" s="7" t="s">
        <v>131</v>
      </c>
      <c r="B2" s="7" t="s">
        <v>26</v>
      </c>
    </row>
    <row r="3" spans="1:2" x14ac:dyDescent="0.25">
      <c r="A3" s="7" t="s">
        <v>131</v>
      </c>
      <c r="B3" s="7" t="s">
        <v>28</v>
      </c>
    </row>
    <row r="4" spans="1:2" x14ac:dyDescent="0.25">
      <c r="A4" s="7" t="s">
        <v>132</v>
      </c>
      <c r="B4" s="7" t="s">
        <v>32</v>
      </c>
    </row>
    <row r="5" spans="1:2" x14ac:dyDescent="0.25">
      <c r="A5" s="7" t="s">
        <v>132</v>
      </c>
      <c r="B5" s="7" t="s">
        <v>30</v>
      </c>
    </row>
    <row r="6" spans="1:2" x14ac:dyDescent="0.25">
      <c r="A6" s="7" t="s">
        <v>133</v>
      </c>
      <c r="B6" s="7" t="s">
        <v>28</v>
      </c>
    </row>
    <row r="7" spans="1:2" x14ac:dyDescent="0.25">
      <c r="A7" s="7" t="s">
        <v>133</v>
      </c>
      <c r="B7" s="7" t="s">
        <v>24</v>
      </c>
    </row>
    <row r="8" spans="1:2" x14ac:dyDescent="0.25">
      <c r="A8" s="7" t="s">
        <v>134</v>
      </c>
      <c r="B8" s="7" t="s">
        <v>24</v>
      </c>
    </row>
    <row r="9" spans="1:2" x14ac:dyDescent="0.25">
      <c r="A9" s="7" t="s">
        <v>135</v>
      </c>
      <c r="B9" s="7" t="s">
        <v>30</v>
      </c>
    </row>
    <row r="10" spans="1:2" x14ac:dyDescent="0.25">
      <c r="A10" s="7" t="s">
        <v>135</v>
      </c>
      <c r="B10" s="7" t="s">
        <v>32</v>
      </c>
    </row>
    <row r="11" spans="1:2" x14ac:dyDescent="0.25">
      <c r="A11" s="7" t="s">
        <v>135</v>
      </c>
      <c r="B11" s="7" t="s">
        <v>22</v>
      </c>
    </row>
    <row r="12" spans="1:2" x14ac:dyDescent="0.25">
      <c r="A12" s="7" t="s">
        <v>136</v>
      </c>
      <c r="B12" s="7" t="s">
        <v>22</v>
      </c>
    </row>
    <row r="13" spans="1:2" x14ac:dyDescent="0.25">
      <c r="A13" s="7" t="s">
        <v>136</v>
      </c>
      <c r="B13" s="7" t="s">
        <v>32</v>
      </c>
    </row>
    <row r="14" spans="1:2" x14ac:dyDescent="0.25">
      <c r="A14" s="7" t="s">
        <v>137</v>
      </c>
      <c r="B14" s="7" t="s">
        <v>30</v>
      </c>
    </row>
    <row r="15" spans="1:2" x14ac:dyDescent="0.25">
      <c r="A15" s="7" t="s">
        <v>138</v>
      </c>
      <c r="B15" s="7" t="s">
        <v>30</v>
      </c>
    </row>
    <row r="16" spans="1:2" x14ac:dyDescent="0.25">
      <c r="A16" s="7" t="s">
        <v>138</v>
      </c>
      <c r="B16" s="7" t="s">
        <v>24</v>
      </c>
    </row>
    <row r="17" spans="1:2" x14ac:dyDescent="0.25">
      <c r="A17" s="7" t="s">
        <v>138</v>
      </c>
      <c r="B17" s="7" t="s">
        <v>22</v>
      </c>
    </row>
    <row r="18" spans="1:2" x14ac:dyDescent="0.25">
      <c r="A18" s="7" t="s">
        <v>139</v>
      </c>
      <c r="B18" s="7" t="s">
        <v>22</v>
      </c>
    </row>
    <row r="19" spans="1:2" x14ac:dyDescent="0.25">
      <c r="A19" s="7" t="s">
        <v>139</v>
      </c>
      <c r="B19" s="7" t="s">
        <v>24</v>
      </c>
    </row>
    <row r="20" spans="1:2" x14ac:dyDescent="0.25">
      <c r="A20" s="7" t="s">
        <v>139</v>
      </c>
      <c r="B20" s="7" t="s">
        <v>32</v>
      </c>
    </row>
    <row r="21" spans="1:2" x14ac:dyDescent="0.25">
      <c r="A21" s="7" t="s">
        <v>140</v>
      </c>
      <c r="B21" s="7" t="s">
        <v>32</v>
      </c>
    </row>
    <row r="22" spans="1:2" x14ac:dyDescent="0.25">
      <c r="A22" s="7" t="s">
        <v>141</v>
      </c>
      <c r="B22" s="7" t="s">
        <v>28</v>
      </c>
    </row>
    <row r="23" spans="1:2" x14ac:dyDescent="0.25">
      <c r="A23" s="7" t="s">
        <v>141</v>
      </c>
      <c r="B23" s="7" t="s">
        <v>22</v>
      </c>
    </row>
    <row r="24" spans="1:2" x14ac:dyDescent="0.25">
      <c r="A24" s="7" t="s">
        <v>142</v>
      </c>
      <c r="B24" s="7" t="s">
        <v>30</v>
      </c>
    </row>
    <row r="25" spans="1:2" x14ac:dyDescent="0.25">
      <c r="A25" s="7" t="s">
        <v>142</v>
      </c>
      <c r="B25" s="7" t="s">
        <v>24</v>
      </c>
    </row>
    <row r="26" spans="1:2" x14ac:dyDescent="0.25">
      <c r="A26" s="7" t="s">
        <v>142</v>
      </c>
      <c r="B26" s="7" t="s">
        <v>22</v>
      </c>
    </row>
    <row r="27" spans="1:2" x14ac:dyDescent="0.25">
      <c r="A27" s="7" t="s">
        <v>143</v>
      </c>
      <c r="B27" s="7" t="s">
        <v>28</v>
      </c>
    </row>
    <row r="28" spans="1:2" x14ac:dyDescent="0.25">
      <c r="A28" s="7" t="s">
        <v>143</v>
      </c>
      <c r="B28" s="7" t="s">
        <v>30</v>
      </c>
    </row>
    <row r="29" spans="1:2" x14ac:dyDescent="0.25">
      <c r="A29" s="7" t="s">
        <v>144</v>
      </c>
      <c r="B29" s="7" t="s">
        <v>26</v>
      </c>
    </row>
    <row r="30" spans="1:2" x14ac:dyDescent="0.25">
      <c r="A30" s="7" t="s">
        <v>145</v>
      </c>
      <c r="B30" s="7" t="s">
        <v>24</v>
      </c>
    </row>
    <row r="31" spans="1:2" x14ac:dyDescent="0.25">
      <c r="A31" s="7" t="s">
        <v>145</v>
      </c>
      <c r="B31" s="7" t="s">
        <v>26</v>
      </c>
    </row>
    <row r="32" spans="1:2" x14ac:dyDescent="0.25">
      <c r="A32" s="7" t="s">
        <v>145</v>
      </c>
      <c r="B32" s="7" t="s">
        <v>32</v>
      </c>
    </row>
    <row r="33" spans="1:2" x14ac:dyDescent="0.25">
      <c r="A33" s="7" t="s">
        <v>146</v>
      </c>
      <c r="B33" s="7" t="s">
        <v>24</v>
      </c>
    </row>
    <row r="34" spans="1:2" x14ac:dyDescent="0.25">
      <c r="A34" s="7" t="s">
        <v>147</v>
      </c>
      <c r="B34" s="7" t="s">
        <v>26</v>
      </c>
    </row>
    <row r="35" spans="1:2" x14ac:dyDescent="0.25">
      <c r="A35" s="7" t="s">
        <v>147</v>
      </c>
      <c r="B35" s="7" t="s">
        <v>28</v>
      </c>
    </row>
    <row r="36" spans="1:2" x14ac:dyDescent="0.25">
      <c r="A36" s="7" t="s">
        <v>148</v>
      </c>
      <c r="B36" s="7" t="s">
        <v>22</v>
      </c>
    </row>
    <row r="37" spans="1:2" x14ac:dyDescent="0.25">
      <c r="A37" s="7" t="s">
        <v>149</v>
      </c>
      <c r="B37" s="7" t="s">
        <v>30</v>
      </c>
    </row>
    <row r="38" spans="1:2" x14ac:dyDescent="0.25">
      <c r="A38" s="7" t="s">
        <v>150</v>
      </c>
      <c r="B38" s="7" t="s">
        <v>22</v>
      </c>
    </row>
    <row r="39" spans="1:2" x14ac:dyDescent="0.25">
      <c r="A39" s="7" t="s">
        <v>150</v>
      </c>
      <c r="B39" s="7" t="s">
        <v>32</v>
      </c>
    </row>
    <row r="40" spans="1:2" x14ac:dyDescent="0.25">
      <c r="A40" s="7" t="s">
        <v>150</v>
      </c>
      <c r="B40" s="7" t="s">
        <v>24</v>
      </c>
    </row>
    <row r="41" spans="1:2" x14ac:dyDescent="0.25">
      <c r="A41" s="7" t="s">
        <v>151</v>
      </c>
      <c r="B41" s="7" t="s">
        <v>24</v>
      </c>
    </row>
    <row r="42" spans="1:2" x14ac:dyDescent="0.25">
      <c r="A42" s="7" t="s">
        <v>152</v>
      </c>
      <c r="B42" s="7" t="s">
        <v>22</v>
      </c>
    </row>
    <row r="43" spans="1:2" x14ac:dyDescent="0.25">
      <c r="A43" s="7" t="s">
        <v>152</v>
      </c>
      <c r="B43" s="7" t="s">
        <v>24</v>
      </c>
    </row>
    <row r="44" spans="1:2" x14ac:dyDescent="0.25">
      <c r="A44" s="7" t="s">
        <v>152</v>
      </c>
      <c r="B44" s="7" t="s">
        <v>26</v>
      </c>
    </row>
    <row r="45" spans="1:2" x14ac:dyDescent="0.25">
      <c r="A45" s="7" t="s">
        <v>153</v>
      </c>
      <c r="B45" s="7" t="s">
        <v>28</v>
      </c>
    </row>
    <row r="46" spans="1:2" x14ac:dyDescent="0.25">
      <c r="A46" s="7" t="s">
        <v>154</v>
      </c>
      <c r="B46" s="7" t="s">
        <v>32</v>
      </c>
    </row>
    <row r="47" spans="1:2" x14ac:dyDescent="0.25">
      <c r="A47" s="7" t="s">
        <v>154</v>
      </c>
      <c r="B47" s="7" t="s">
        <v>26</v>
      </c>
    </row>
    <row r="48" spans="1:2" x14ac:dyDescent="0.25">
      <c r="A48" s="7" t="s">
        <v>155</v>
      </c>
      <c r="B48" s="7" t="s">
        <v>32</v>
      </c>
    </row>
    <row r="49" spans="1:2" x14ac:dyDescent="0.25">
      <c r="A49" s="7" t="s">
        <v>155</v>
      </c>
      <c r="B49" s="7" t="s">
        <v>30</v>
      </c>
    </row>
    <row r="50" spans="1:2" x14ac:dyDescent="0.25">
      <c r="A50" s="7" t="s">
        <v>156</v>
      </c>
      <c r="B50" s="7" t="s">
        <v>30</v>
      </c>
    </row>
    <row r="51" spans="1:2" x14ac:dyDescent="0.25">
      <c r="A51" s="7" t="s">
        <v>157</v>
      </c>
      <c r="B51" s="7" t="s">
        <v>32</v>
      </c>
    </row>
    <row r="52" spans="1:2" x14ac:dyDescent="0.25">
      <c r="A52" s="7" t="s">
        <v>158</v>
      </c>
      <c r="B52" s="7" t="s">
        <v>24</v>
      </c>
    </row>
    <row r="53" spans="1:2" x14ac:dyDescent="0.25">
      <c r="A53" s="7" t="s">
        <v>159</v>
      </c>
      <c r="B53" s="7" t="s">
        <v>22</v>
      </c>
    </row>
    <row r="54" spans="1:2" x14ac:dyDescent="0.25">
      <c r="A54" s="7" t="s">
        <v>160</v>
      </c>
      <c r="B54" s="7" t="s">
        <v>24</v>
      </c>
    </row>
    <row r="55" spans="1:2" x14ac:dyDescent="0.25">
      <c r="A55" s="7" t="s">
        <v>160</v>
      </c>
      <c r="B55" s="7" t="s">
        <v>26</v>
      </c>
    </row>
    <row r="56" spans="1:2" x14ac:dyDescent="0.25">
      <c r="A56" s="7" t="s">
        <v>161</v>
      </c>
      <c r="B56" s="7" t="s">
        <v>24</v>
      </c>
    </row>
    <row r="57" spans="1:2" x14ac:dyDescent="0.25">
      <c r="A57" s="7" t="s">
        <v>162</v>
      </c>
      <c r="B57" s="7" t="s">
        <v>24</v>
      </c>
    </row>
    <row r="58" spans="1:2" x14ac:dyDescent="0.25">
      <c r="A58" s="7" t="s">
        <v>162</v>
      </c>
      <c r="B58" s="7" t="s">
        <v>26</v>
      </c>
    </row>
    <row r="59" spans="1:2" x14ac:dyDescent="0.25">
      <c r="A59" s="7" t="s">
        <v>163</v>
      </c>
      <c r="B59" s="7" t="s">
        <v>26</v>
      </c>
    </row>
    <row r="60" spans="1:2" x14ac:dyDescent="0.25">
      <c r="A60" s="7" t="s">
        <v>164</v>
      </c>
      <c r="B60" s="7" t="s">
        <v>22</v>
      </c>
    </row>
    <row r="61" spans="1:2" x14ac:dyDescent="0.25">
      <c r="A61" s="7" t="s">
        <v>164</v>
      </c>
      <c r="B61" s="7" t="s">
        <v>32</v>
      </c>
    </row>
    <row r="62" spans="1:2" x14ac:dyDescent="0.25">
      <c r="A62" s="7" t="s">
        <v>164</v>
      </c>
      <c r="B62" s="7" t="s">
        <v>28</v>
      </c>
    </row>
    <row r="63" spans="1:2" x14ac:dyDescent="0.25">
      <c r="A63" s="7" t="s">
        <v>165</v>
      </c>
      <c r="B63" s="7" t="s">
        <v>22</v>
      </c>
    </row>
    <row r="64" spans="1:2" x14ac:dyDescent="0.25">
      <c r="A64" s="7" t="s">
        <v>165</v>
      </c>
      <c r="B64" s="7" t="s">
        <v>32</v>
      </c>
    </row>
    <row r="65" spans="1:2" x14ac:dyDescent="0.25">
      <c r="A65" s="7" t="s">
        <v>166</v>
      </c>
      <c r="B65" s="7" t="s">
        <v>24</v>
      </c>
    </row>
    <row r="66" spans="1:2" x14ac:dyDescent="0.25">
      <c r="A66" s="7" t="s">
        <v>167</v>
      </c>
      <c r="B66" s="7" t="s">
        <v>26</v>
      </c>
    </row>
    <row r="67" spans="1:2" x14ac:dyDescent="0.25">
      <c r="A67" s="7" t="s">
        <v>167</v>
      </c>
      <c r="B67" s="7" t="s">
        <v>24</v>
      </c>
    </row>
    <row r="68" spans="1:2" x14ac:dyDescent="0.25">
      <c r="A68" s="7" t="s">
        <v>168</v>
      </c>
      <c r="B68" s="7" t="s">
        <v>30</v>
      </c>
    </row>
    <row r="69" spans="1:2" x14ac:dyDescent="0.25">
      <c r="A69" s="7" t="s">
        <v>168</v>
      </c>
      <c r="B69" s="7" t="s">
        <v>28</v>
      </c>
    </row>
    <row r="70" spans="1:2" x14ac:dyDescent="0.25">
      <c r="A70" s="7" t="s">
        <v>169</v>
      </c>
      <c r="B70" s="7" t="s">
        <v>22</v>
      </c>
    </row>
    <row r="71" spans="1:2" x14ac:dyDescent="0.25">
      <c r="A71" s="7" t="s">
        <v>170</v>
      </c>
      <c r="B71" s="7" t="s">
        <v>32</v>
      </c>
    </row>
    <row r="72" spans="1:2" x14ac:dyDescent="0.25">
      <c r="A72" s="7" t="s">
        <v>171</v>
      </c>
      <c r="B72" s="7" t="s">
        <v>30</v>
      </c>
    </row>
    <row r="73" spans="1:2" x14ac:dyDescent="0.25">
      <c r="A73" s="7" t="s">
        <v>171</v>
      </c>
      <c r="B73" s="7" t="s">
        <v>22</v>
      </c>
    </row>
    <row r="74" spans="1:2" x14ac:dyDescent="0.25">
      <c r="A74" s="7" t="s">
        <v>171</v>
      </c>
      <c r="B74" s="7" t="s">
        <v>26</v>
      </c>
    </row>
    <row r="75" spans="1:2" x14ac:dyDescent="0.25">
      <c r="A75" s="7" t="s">
        <v>172</v>
      </c>
      <c r="B75" s="7" t="s">
        <v>24</v>
      </c>
    </row>
    <row r="76" spans="1:2" x14ac:dyDescent="0.25">
      <c r="A76" s="7" t="s">
        <v>173</v>
      </c>
      <c r="B76" s="7" t="s">
        <v>22</v>
      </c>
    </row>
    <row r="77" spans="1:2" x14ac:dyDescent="0.25">
      <c r="A77" s="7" t="s">
        <v>174</v>
      </c>
      <c r="B77" s="7" t="s">
        <v>22</v>
      </c>
    </row>
    <row r="78" spans="1:2" x14ac:dyDescent="0.25">
      <c r="A78" s="7" t="s">
        <v>175</v>
      </c>
      <c r="B78" s="7" t="s">
        <v>24</v>
      </c>
    </row>
    <row r="79" spans="1:2" x14ac:dyDescent="0.25">
      <c r="A79" s="7" t="s">
        <v>175</v>
      </c>
      <c r="B79" s="7" t="s">
        <v>32</v>
      </c>
    </row>
    <row r="80" spans="1:2" x14ac:dyDescent="0.25">
      <c r="A80" s="7" t="s">
        <v>176</v>
      </c>
      <c r="B80" s="7" t="s">
        <v>26</v>
      </c>
    </row>
    <row r="81" spans="1:2" x14ac:dyDescent="0.25">
      <c r="A81" s="7" t="s">
        <v>176</v>
      </c>
      <c r="B81" s="7" t="s">
        <v>30</v>
      </c>
    </row>
    <row r="82" spans="1:2" x14ac:dyDescent="0.25">
      <c r="A82" s="7" t="s">
        <v>177</v>
      </c>
      <c r="B82" s="7" t="s">
        <v>28</v>
      </c>
    </row>
    <row r="83" spans="1:2" x14ac:dyDescent="0.25">
      <c r="A83" s="7" t="s">
        <v>177</v>
      </c>
      <c r="B83" s="7" t="s">
        <v>30</v>
      </c>
    </row>
    <row r="84" spans="1:2" x14ac:dyDescent="0.25">
      <c r="A84" s="7" t="s">
        <v>178</v>
      </c>
      <c r="B84" s="7" t="s">
        <v>24</v>
      </c>
    </row>
    <row r="85" spans="1:2" x14ac:dyDescent="0.25">
      <c r="A85" s="7" t="s">
        <v>178</v>
      </c>
      <c r="B85" s="7" t="s">
        <v>32</v>
      </c>
    </row>
    <row r="86" spans="1:2" x14ac:dyDescent="0.25">
      <c r="A86" s="7" t="s">
        <v>179</v>
      </c>
      <c r="B86" s="7" t="s">
        <v>24</v>
      </c>
    </row>
    <row r="87" spans="1:2" x14ac:dyDescent="0.25">
      <c r="A87" s="7" t="s">
        <v>179</v>
      </c>
      <c r="B87" s="7" t="s">
        <v>28</v>
      </c>
    </row>
    <row r="88" spans="1:2" x14ac:dyDescent="0.25">
      <c r="A88" s="7" t="s">
        <v>179</v>
      </c>
      <c r="B88" s="7" t="s">
        <v>22</v>
      </c>
    </row>
    <row r="89" spans="1:2" x14ac:dyDescent="0.25">
      <c r="A89" s="7" t="s">
        <v>180</v>
      </c>
      <c r="B89" s="7" t="s">
        <v>26</v>
      </c>
    </row>
    <row r="90" spans="1:2" x14ac:dyDescent="0.25">
      <c r="A90" s="7" t="s">
        <v>181</v>
      </c>
      <c r="B90" s="7" t="s">
        <v>28</v>
      </c>
    </row>
    <row r="91" spans="1:2" x14ac:dyDescent="0.25">
      <c r="A91" s="7" t="s">
        <v>181</v>
      </c>
      <c r="B91" s="7" t="s">
        <v>24</v>
      </c>
    </row>
    <row r="92" spans="1:2" x14ac:dyDescent="0.25">
      <c r="A92" s="7" t="s">
        <v>182</v>
      </c>
      <c r="B92" s="7" t="s">
        <v>32</v>
      </c>
    </row>
    <row r="93" spans="1:2" x14ac:dyDescent="0.25">
      <c r="A93" s="7" t="s">
        <v>183</v>
      </c>
      <c r="B93" s="7" t="s">
        <v>22</v>
      </c>
    </row>
    <row r="94" spans="1:2" x14ac:dyDescent="0.25">
      <c r="A94" s="7" t="s">
        <v>184</v>
      </c>
      <c r="B94" s="7" t="s">
        <v>24</v>
      </c>
    </row>
    <row r="95" spans="1:2" x14ac:dyDescent="0.25">
      <c r="A95" s="7" t="s">
        <v>184</v>
      </c>
      <c r="B95" s="7" t="s">
        <v>32</v>
      </c>
    </row>
    <row r="96" spans="1:2" x14ac:dyDescent="0.25">
      <c r="A96" s="7" t="s">
        <v>185</v>
      </c>
      <c r="B96" s="7" t="s">
        <v>28</v>
      </c>
    </row>
    <row r="97" spans="1:2" x14ac:dyDescent="0.25">
      <c r="A97" s="7" t="s">
        <v>185</v>
      </c>
      <c r="B97" s="7" t="s">
        <v>26</v>
      </c>
    </row>
    <row r="98" spans="1:2" x14ac:dyDescent="0.25">
      <c r="A98" s="7" t="s">
        <v>186</v>
      </c>
      <c r="B98" s="7" t="s">
        <v>24</v>
      </c>
    </row>
    <row r="99" spans="1:2" x14ac:dyDescent="0.25">
      <c r="A99" s="7" t="s">
        <v>187</v>
      </c>
      <c r="B99" s="7" t="s">
        <v>32</v>
      </c>
    </row>
    <row r="100" spans="1:2" x14ac:dyDescent="0.25">
      <c r="A100" s="7" t="s">
        <v>188</v>
      </c>
      <c r="B100" s="7" t="s">
        <v>26</v>
      </c>
    </row>
    <row r="101" spans="1:2" x14ac:dyDescent="0.25">
      <c r="A101" s="7" t="s">
        <v>189</v>
      </c>
      <c r="B101" s="7" t="s">
        <v>22</v>
      </c>
    </row>
    <row r="102" spans="1:2" x14ac:dyDescent="0.25">
      <c r="A102" s="7" t="s">
        <v>190</v>
      </c>
      <c r="B102" s="7" t="s">
        <v>26</v>
      </c>
    </row>
    <row r="103" spans="1:2" x14ac:dyDescent="0.25">
      <c r="A103" s="7" t="s">
        <v>190</v>
      </c>
      <c r="B103" s="7" t="s">
        <v>32</v>
      </c>
    </row>
    <row r="104" spans="1:2" x14ac:dyDescent="0.25">
      <c r="A104" s="7" t="s">
        <v>190</v>
      </c>
      <c r="B104" s="7" t="s">
        <v>28</v>
      </c>
    </row>
    <row r="105" spans="1:2" x14ac:dyDescent="0.25">
      <c r="A105" s="7" t="s">
        <v>191</v>
      </c>
      <c r="B105" s="7" t="s">
        <v>30</v>
      </c>
    </row>
    <row r="106" spans="1:2" x14ac:dyDescent="0.25">
      <c r="A106" s="7" t="s">
        <v>191</v>
      </c>
      <c r="B106" s="7" t="s">
        <v>26</v>
      </c>
    </row>
    <row r="107" spans="1:2" x14ac:dyDescent="0.25">
      <c r="A107" s="7" t="s">
        <v>192</v>
      </c>
      <c r="B107" s="7" t="s">
        <v>22</v>
      </c>
    </row>
    <row r="108" spans="1:2" x14ac:dyDescent="0.25">
      <c r="A108" s="7" t="s">
        <v>192</v>
      </c>
      <c r="B108" s="7" t="s">
        <v>26</v>
      </c>
    </row>
    <row r="109" spans="1:2" x14ac:dyDescent="0.25">
      <c r="A109" s="7" t="s">
        <v>192</v>
      </c>
      <c r="B109" s="7" t="s">
        <v>24</v>
      </c>
    </row>
    <row r="110" spans="1:2" x14ac:dyDescent="0.25">
      <c r="A110" s="7" t="s">
        <v>193</v>
      </c>
      <c r="B110" s="7" t="s">
        <v>26</v>
      </c>
    </row>
    <row r="111" spans="1:2" x14ac:dyDescent="0.25">
      <c r="A111" s="7" t="s">
        <v>194</v>
      </c>
      <c r="B111" s="7" t="s">
        <v>30</v>
      </c>
    </row>
    <row r="112" spans="1:2" x14ac:dyDescent="0.25">
      <c r="A112" s="7" t="s">
        <v>195</v>
      </c>
      <c r="B112" s="7" t="s">
        <v>32</v>
      </c>
    </row>
    <row r="113" spans="1:2" x14ac:dyDescent="0.25">
      <c r="A113" s="7" t="s">
        <v>196</v>
      </c>
      <c r="B113" s="7" t="s">
        <v>28</v>
      </c>
    </row>
    <row r="114" spans="1:2" x14ac:dyDescent="0.25">
      <c r="A114" s="7" t="s">
        <v>196</v>
      </c>
      <c r="B114" s="7" t="s">
        <v>30</v>
      </c>
    </row>
    <row r="115" spans="1:2" x14ac:dyDescent="0.25">
      <c r="A115" s="7" t="s">
        <v>197</v>
      </c>
      <c r="B115" s="7" t="s">
        <v>22</v>
      </c>
    </row>
    <row r="116" spans="1:2" x14ac:dyDescent="0.25">
      <c r="A116" s="7" t="s">
        <v>197</v>
      </c>
      <c r="B116" s="7" t="s">
        <v>28</v>
      </c>
    </row>
    <row r="117" spans="1:2" x14ac:dyDescent="0.25">
      <c r="A117" s="7" t="s">
        <v>197</v>
      </c>
      <c r="B117" s="7" t="s">
        <v>24</v>
      </c>
    </row>
    <row r="118" spans="1:2" x14ac:dyDescent="0.25">
      <c r="A118" s="7" t="s">
        <v>198</v>
      </c>
      <c r="B118" s="7" t="s">
        <v>32</v>
      </c>
    </row>
    <row r="119" spans="1:2" x14ac:dyDescent="0.25">
      <c r="A119" s="7" t="s">
        <v>199</v>
      </c>
      <c r="B119" s="7" t="s">
        <v>30</v>
      </c>
    </row>
    <row r="120" spans="1:2" x14ac:dyDescent="0.25">
      <c r="A120" s="7" t="s">
        <v>200</v>
      </c>
      <c r="B120" s="7" t="s">
        <v>30</v>
      </c>
    </row>
    <row r="121" spans="1:2" x14ac:dyDescent="0.25">
      <c r="A121" s="7" t="s">
        <v>200</v>
      </c>
      <c r="B121" s="7" t="s">
        <v>24</v>
      </c>
    </row>
    <row r="122" spans="1:2" x14ac:dyDescent="0.25">
      <c r="A122" s="7" t="s">
        <v>200</v>
      </c>
      <c r="B122" s="7" t="s">
        <v>26</v>
      </c>
    </row>
    <row r="123" spans="1:2" x14ac:dyDescent="0.25">
      <c r="A123" s="7" t="s">
        <v>201</v>
      </c>
      <c r="B123" s="7" t="s">
        <v>32</v>
      </c>
    </row>
    <row r="124" spans="1:2" x14ac:dyDescent="0.25">
      <c r="A124" s="7" t="s">
        <v>202</v>
      </c>
      <c r="B124" s="7" t="s">
        <v>30</v>
      </c>
    </row>
    <row r="125" spans="1:2" x14ac:dyDescent="0.25">
      <c r="A125" s="7" t="s">
        <v>202</v>
      </c>
      <c r="B125" s="7" t="s">
        <v>26</v>
      </c>
    </row>
    <row r="126" spans="1:2" x14ac:dyDescent="0.25">
      <c r="A126" s="7" t="s">
        <v>202</v>
      </c>
      <c r="B126" s="7" t="s">
        <v>22</v>
      </c>
    </row>
    <row r="127" spans="1:2" x14ac:dyDescent="0.25">
      <c r="A127" s="7" t="s">
        <v>203</v>
      </c>
      <c r="B127" s="7" t="s">
        <v>26</v>
      </c>
    </row>
    <row r="128" spans="1:2" x14ac:dyDescent="0.25">
      <c r="A128" s="7" t="s">
        <v>203</v>
      </c>
      <c r="B128" s="7" t="s">
        <v>30</v>
      </c>
    </row>
    <row r="129" spans="1:2" x14ac:dyDescent="0.25">
      <c r="A129" s="7" t="s">
        <v>204</v>
      </c>
      <c r="B129" s="7" t="s">
        <v>28</v>
      </c>
    </row>
    <row r="130" spans="1:2" x14ac:dyDescent="0.25">
      <c r="A130" s="7" t="s">
        <v>205</v>
      </c>
      <c r="B130" s="7" t="s">
        <v>32</v>
      </c>
    </row>
    <row r="131" spans="1:2" x14ac:dyDescent="0.25">
      <c r="A131" s="7" t="s">
        <v>206</v>
      </c>
      <c r="B131" s="7" t="s">
        <v>24</v>
      </c>
    </row>
    <row r="132" spans="1:2" x14ac:dyDescent="0.25">
      <c r="A132" s="7" t="s">
        <v>207</v>
      </c>
      <c r="B132" s="7" t="s">
        <v>32</v>
      </c>
    </row>
    <row r="133" spans="1:2" x14ac:dyDescent="0.25">
      <c r="A133" s="7" t="s">
        <v>208</v>
      </c>
      <c r="B133" s="7" t="s">
        <v>32</v>
      </c>
    </row>
    <row r="134" spans="1:2" x14ac:dyDescent="0.25">
      <c r="A134" s="7" t="s">
        <v>208</v>
      </c>
      <c r="B134" s="7" t="s">
        <v>24</v>
      </c>
    </row>
    <row r="135" spans="1:2" x14ac:dyDescent="0.25">
      <c r="A135" s="7" t="s">
        <v>208</v>
      </c>
      <c r="B135" s="7" t="s">
        <v>26</v>
      </c>
    </row>
    <row r="136" spans="1:2" x14ac:dyDescent="0.25">
      <c r="A136" s="7" t="s">
        <v>209</v>
      </c>
      <c r="B136" s="7" t="s">
        <v>22</v>
      </c>
    </row>
    <row r="137" spans="1:2" x14ac:dyDescent="0.25">
      <c r="A137" s="7" t="s">
        <v>210</v>
      </c>
      <c r="B137" s="7" t="s">
        <v>24</v>
      </c>
    </row>
    <row r="138" spans="1:2" x14ac:dyDescent="0.25">
      <c r="A138" s="7" t="s">
        <v>211</v>
      </c>
      <c r="B138" s="7" t="s">
        <v>30</v>
      </c>
    </row>
    <row r="139" spans="1:2" x14ac:dyDescent="0.25">
      <c r="A139" s="7" t="s">
        <v>212</v>
      </c>
      <c r="B139" s="7" t="s">
        <v>26</v>
      </c>
    </row>
    <row r="140" spans="1:2" x14ac:dyDescent="0.25">
      <c r="A140" s="7" t="s">
        <v>212</v>
      </c>
      <c r="B140" s="7" t="s">
        <v>28</v>
      </c>
    </row>
    <row r="141" spans="1:2" x14ac:dyDescent="0.25">
      <c r="A141" s="7" t="s">
        <v>213</v>
      </c>
      <c r="B141" s="7" t="s">
        <v>32</v>
      </c>
    </row>
    <row r="142" spans="1:2" x14ac:dyDescent="0.25">
      <c r="A142" s="7" t="s">
        <v>214</v>
      </c>
      <c r="B142" s="7" t="s">
        <v>28</v>
      </c>
    </row>
    <row r="143" spans="1:2" x14ac:dyDescent="0.25">
      <c r="A143" s="7" t="s">
        <v>215</v>
      </c>
      <c r="B143" s="7" t="s">
        <v>32</v>
      </c>
    </row>
    <row r="144" spans="1:2" x14ac:dyDescent="0.25">
      <c r="A144" s="7" t="s">
        <v>215</v>
      </c>
      <c r="B144" s="7" t="s">
        <v>24</v>
      </c>
    </row>
    <row r="145" spans="1:2" x14ac:dyDescent="0.25">
      <c r="A145" s="7" t="s">
        <v>216</v>
      </c>
      <c r="B145" s="7" t="s">
        <v>26</v>
      </c>
    </row>
    <row r="146" spans="1:2" x14ac:dyDescent="0.25">
      <c r="A146" s="7" t="s">
        <v>216</v>
      </c>
      <c r="B146" s="7" t="s">
        <v>30</v>
      </c>
    </row>
    <row r="147" spans="1:2" x14ac:dyDescent="0.25">
      <c r="A147" s="7" t="s">
        <v>217</v>
      </c>
      <c r="B147" s="7" t="s">
        <v>30</v>
      </c>
    </row>
    <row r="148" spans="1:2" x14ac:dyDescent="0.25">
      <c r="A148" s="7" t="s">
        <v>217</v>
      </c>
      <c r="B148" s="7" t="s">
        <v>26</v>
      </c>
    </row>
    <row r="149" spans="1:2" x14ac:dyDescent="0.25">
      <c r="A149" s="7" t="s">
        <v>218</v>
      </c>
      <c r="B149" s="7" t="s">
        <v>24</v>
      </c>
    </row>
    <row r="150" spans="1:2" x14ac:dyDescent="0.25">
      <c r="A150" s="7" t="s">
        <v>219</v>
      </c>
      <c r="B150" s="7" t="s">
        <v>24</v>
      </c>
    </row>
    <row r="151" spans="1:2" x14ac:dyDescent="0.25">
      <c r="A151" s="7" t="s">
        <v>219</v>
      </c>
      <c r="B151" s="7" t="s">
        <v>32</v>
      </c>
    </row>
    <row r="152" spans="1:2" x14ac:dyDescent="0.25">
      <c r="A152" s="7" t="s">
        <v>220</v>
      </c>
      <c r="B152" s="7" t="s">
        <v>22</v>
      </c>
    </row>
    <row r="153" spans="1:2" x14ac:dyDescent="0.25">
      <c r="A153" s="7" t="s">
        <v>221</v>
      </c>
      <c r="B153" s="7" t="s">
        <v>28</v>
      </c>
    </row>
    <row r="154" spans="1:2" x14ac:dyDescent="0.25">
      <c r="A154" s="7" t="s">
        <v>222</v>
      </c>
      <c r="B154" s="7" t="s">
        <v>22</v>
      </c>
    </row>
    <row r="155" spans="1:2" x14ac:dyDescent="0.25">
      <c r="A155" s="7" t="s">
        <v>222</v>
      </c>
      <c r="B155" s="7" t="s">
        <v>28</v>
      </c>
    </row>
    <row r="156" spans="1:2" x14ac:dyDescent="0.25">
      <c r="A156" s="7" t="s">
        <v>223</v>
      </c>
      <c r="B156" s="7" t="s">
        <v>32</v>
      </c>
    </row>
    <row r="157" spans="1:2" x14ac:dyDescent="0.25">
      <c r="A157" s="7" t="s">
        <v>224</v>
      </c>
      <c r="B157" s="7" t="s">
        <v>32</v>
      </c>
    </row>
    <row r="158" spans="1:2" x14ac:dyDescent="0.25">
      <c r="A158" s="7" t="s">
        <v>225</v>
      </c>
      <c r="B158" s="7" t="s">
        <v>28</v>
      </c>
    </row>
    <row r="159" spans="1:2" x14ac:dyDescent="0.25">
      <c r="A159" s="7" t="s">
        <v>225</v>
      </c>
      <c r="B159" s="7" t="s">
        <v>32</v>
      </c>
    </row>
    <row r="160" spans="1:2" x14ac:dyDescent="0.25">
      <c r="A160" s="7" t="s">
        <v>226</v>
      </c>
      <c r="B160" s="7" t="s">
        <v>32</v>
      </c>
    </row>
    <row r="161" spans="1:2" x14ac:dyDescent="0.25">
      <c r="A161" s="7" t="s">
        <v>227</v>
      </c>
      <c r="B161" s="7" t="s">
        <v>22</v>
      </c>
    </row>
    <row r="162" spans="1:2" x14ac:dyDescent="0.25">
      <c r="A162" s="7" t="s">
        <v>227</v>
      </c>
      <c r="B162" s="7" t="s">
        <v>28</v>
      </c>
    </row>
    <row r="163" spans="1:2" x14ac:dyDescent="0.25">
      <c r="A163" s="7" t="s">
        <v>228</v>
      </c>
      <c r="B163" s="7" t="s">
        <v>32</v>
      </c>
    </row>
    <row r="164" spans="1:2" x14ac:dyDescent="0.25">
      <c r="A164" s="7" t="s">
        <v>229</v>
      </c>
      <c r="B164" s="7" t="s">
        <v>22</v>
      </c>
    </row>
    <row r="165" spans="1:2" x14ac:dyDescent="0.25">
      <c r="A165" s="7" t="s">
        <v>230</v>
      </c>
      <c r="B165" s="7" t="s">
        <v>22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showGridLines="0" workbookViewId="0"/>
  </sheetViews>
  <sheetFormatPr defaultRowHeight="15" x14ac:dyDescent="0.25"/>
  <cols>
    <col min="1" max="1" width="42" customWidth="1"/>
    <col min="2" max="2" width="12" customWidth="1"/>
    <col min="3" max="3" width="10" customWidth="1"/>
    <col min="4" max="4" width="12" customWidth="1"/>
  </cols>
  <sheetData>
    <row r="1" spans="1:4" x14ac:dyDescent="0.25">
      <c r="A1" s="6" t="s">
        <v>33</v>
      </c>
      <c r="B1" s="6" t="s">
        <v>231</v>
      </c>
      <c r="C1" s="6" t="s">
        <v>232</v>
      </c>
      <c r="D1" s="6" t="s">
        <v>233</v>
      </c>
    </row>
    <row r="2" spans="1:4" x14ac:dyDescent="0.25">
      <c r="A2" s="7" t="s">
        <v>234</v>
      </c>
      <c r="B2" s="7" t="s">
        <v>235</v>
      </c>
      <c r="C2" s="7" t="s">
        <v>236</v>
      </c>
      <c r="D2" s="7" t="s">
        <v>237</v>
      </c>
    </row>
    <row r="3" spans="1:4" x14ac:dyDescent="0.25">
      <c r="A3" s="7" t="s">
        <v>238</v>
      </c>
      <c r="B3" s="7" t="s">
        <v>235</v>
      </c>
      <c r="C3" s="7" t="s">
        <v>236</v>
      </c>
      <c r="D3" s="7" t="s">
        <v>237</v>
      </c>
    </row>
    <row r="4" spans="1:4" x14ac:dyDescent="0.25">
      <c r="A4" s="7" t="s">
        <v>239</v>
      </c>
      <c r="B4" s="7" t="s">
        <v>235</v>
      </c>
      <c r="C4" s="7" t="s">
        <v>236</v>
      </c>
      <c r="D4" s="7" t="s">
        <v>237</v>
      </c>
    </row>
    <row r="5" spans="1:4" x14ac:dyDescent="0.25">
      <c r="A5" s="7" t="s">
        <v>240</v>
      </c>
      <c r="B5" s="7" t="s">
        <v>235</v>
      </c>
      <c r="C5" s="7" t="s">
        <v>236</v>
      </c>
      <c r="D5" s="7" t="s">
        <v>237</v>
      </c>
    </row>
    <row r="6" spans="1:4" x14ac:dyDescent="0.25">
      <c r="A6" s="7" t="s">
        <v>241</v>
      </c>
      <c r="B6" s="7" t="s">
        <v>235</v>
      </c>
      <c r="C6" s="7" t="s">
        <v>236</v>
      </c>
      <c r="D6" s="7" t="s">
        <v>237</v>
      </c>
    </row>
    <row r="7" spans="1:4" x14ac:dyDescent="0.25">
      <c r="A7" s="7" t="s">
        <v>242</v>
      </c>
      <c r="B7" s="7" t="s">
        <v>235</v>
      </c>
      <c r="C7" s="7" t="s">
        <v>236</v>
      </c>
      <c r="D7" s="7" t="s">
        <v>237</v>
      </c>
    </row>
    <row r="8" spans="1:4" x14ac:dyDescent="0.25">
      <c r="A8" s="7" t="s">
        <v>243</v>
      </c>
      <c r="B8" s="7" t="s">
        <v>235</v>
      </c>
      <c r="C8" s="7" t="s">
        <v>236</v>
      </c>
      <c r="D8" s="7" t="s">
        <v>237</v>
      </c>
    </row>
    <row r="9" spans="1:4" x14ac:dyDescent="0.25">
      <c r="A9" s="7" t="s">
        <v>244</v>
      </c>
      <c r="B9" s="7" t="s">
        <v>235</v>
      </c>
      <c r="C9" s="7" t="s">
        <v>236</v>
      </c>
      <c r="D9" s="7" t="s">
        <v>237</v>
      </c>
    </row>
    <row r="10" spans="1:4" x14ac:dyDescent="0.25">
      <c r="A10" s="7" t="s">
        <v>245</v>
      </c>
      <c r="B10" s="7" t="s">
        <v>235</v>
      </c>
      <c r="C10" s="7" t="s">
        <v>236</v>
      </c>
      <c r="D10" s="7" t="s">
        <v>237</v>
      </c>
    </row>
    <row r="11" spans="1:4" x14ac:dyDescent="0.25">
      <c r="A11" s="7" t="s">
        <v>246</v>
      </c>
      <c r="B11" s="7" t="s">
        <v>235</v>
      </c>
      <c r="C11" s="7" t="s">
        <v>236</v>
      </c>
      <c r="D11" s="7" t="s">
        <v>237</v>
      </c>
    </row>
    <row r="12" spans="1:4" x14ac:dyDescent="0.25">
      <c r="A12" s="7" t="s">
        <v>247</v>
      </c>
      <c r="B12" s="7" t="s">
        <v>235</v>
      </c>
      <c r="C12" s="7" t="s">
        <v>236</v>
      </c>
      <c r="D12" s="7" t="s">
        <v>237</v>
      </c>
    </row>
    <row r="13" spans="1:4" x14ac:dyDescent="0.25">
      <c r="A13" s="7" t="s">
        <v>248</v>
      </c>
      <c r="B13" s="7" t="s">
        <v>235</v>
      </c>
      <c r="C13" s="7" t="s">
        <v>236</v>
      </c>
      <c r="D13" s="7" t="s">
        <v>237</v>
      </c>
    </row>
    <row r="14" spans="1:4" x14ac:dyDescent="0.25">
      <c r="A14" s="7" t="s">
        <v>249</v>
      </c>
      <c r="B14" s="7" t="s">
        <v>235</v>
      </c>
      <c r="C14" s="7" t="s">
        <v>236</v>
      </c>
      <c r="D14" s="7" t="s">
        <v>237</v>
      </c>
    </row>
    <row r="15" spans="1:4" x14ac:dyDescent="0.25">
      <c r="A15" s="7" t="s">
        <v>250</v>
      </c>
      <c r="B15" s="7" t="s">
        <v>235</v>
      </c>
      <c r="C15" s="7" t="s">
        <v>236</v>
      </c>
      <c r="D15" s="7" t="s">
        <v>237</v>
      </c>
    </row>
    <row r="16" spans="1:4" x14ac:dyDescent="0.25">
      <c r="A16" s="7" t="s">
        <v>251</v>
      </c>
      <c r="B16" s="7" t="s">
        <v>235</v>
      </c>
      <c r="C16" s="7" t="s">
        <v>236</v>
      </c>
      <c r="D16" s="7" t="s">
        <v>237</v>
      </c>
    </row>
    <row r="17" spans="1:4" x14ac:dyDescent="0.25">
      <c r="A17" s="7" t="s">
        <v>252</v>
      </c>
      <c r="B17" s="7" t="s">
        <v>235</v>
      </c>
      <c r="C17" s="7" t="s">
        <v>236</v>
      </c>
      <c r="D17" s="7" t="s">
        <v>237</v>
      </c>
    </row>
    <row r="18" spans="1:4" x14ac:dyDescent="0.25">
      <c r="A18" s="7" t="s">
        <v>253</v>
      </c>
      <c r="B18" s="7" t="s">
        <v>235</v>
      </c>
      <c r="C18" s="7" t="s">
        <v>236</v>
      </c>
      <c r="D18" s="7" t="s">
        <v>237</v>
      </c>
    </row>
    <row r="19" spans="1:4" x14ac:dyDescent="0.25">
      <c r="A19" s="7" t="s">
        <v>254</v>
      </c>
      <c r="B19" s="7" t="s">
        <v>255</v>
      </c>
      <c r="C19" s="7" t="s">
        <v>256</v>
      </c>
      <c r="D19" s="7" t="s">
        <v>237</v>
      </c>
    </row>
    <row r="20" spans="1:4" x14ac:dyDescent="0.25">
      <c r="A20" s="7" t="s">
        <v>257</v>
      </c>
      <c r="B20" s="7" t="s">
        <v>255</v>
      </c>
      <c r="C20" s="7" t="s">
        <v>256</v>
      </c>
      <c r="D20" s="7" t="s">
        <v>237</v>
      </c>
    </row>
    <row r="21" spans="1:4" x14ac:dyDescent="0.25">
      <c r="A21" s="7" t="s">
        <v>258</v>
      </c>
      <c r="B21" s="7" t="s">
        <v>255</v>
      </c>
      <c r="C21" s="7" t="s">
        <v>256</v>
      </c>
      <c r="D21" s="7" t="s">
        <v>237</v>
      </c>
    </row>
    <row r="22" spans="1:4" x14ac:dyDescent="0.25">
      <c r="A22" s="7" t="s">
        <v>259</v>
      </c>
      <c r="B22" s="7" t="s">
        <v>255</v>
      </c>
      <c r="C22" s="7" t="s">
        <v>256</v>
      </c>
      <c r="D22" s="7" t="s">
        <v>237</v>
      </c>
    </row>
    <row r="23" spans="1:4" x14ac:dyDescent="0.25">
      <c r="A23" s="7" t="s">
        <v>260</v>
      </c>
      <c r="B23" s="7" t="s">
        <v>255</v>
      </c>
      <c r="C23" s="7" t="s">
        <v>256</v>
      </c>
      <c r="D23" s="7" t="s">
        <v>237</v>
      </c>
    </row>
    <row r="24" spans="1:4" x14ac:dyDescent="0.25">
      <c r="A24" s="7" t="s">
        <v>261</v>
      </c>
      <c r="B24" s="7" t="s">
        <v>255</v>
      </c>
      <c r="C24" s="7" t="s">
        <v>256</v>
      </c>
      <c r="D24" s="7" t="s">
        <v>237</v>
      </c>
    </row>
    <row r="25" spans="1:4" x14ac:dyDescent="0.25">
      <c r="A25" s="7" t="s">
        <v>262</v>
      </c>
      <c r="B25" s="7" t="s">
        <v>255</v>
      </c>
      <c r="C25" s="7" t="s">
        <v>256</v>
      </c>
      <c r="D25" s="7" t="s">
        <v>237</v>
      </c>
    </row>
    <row r="26" spans="1:4" x14ac:dyDescent="0.25">
      <c r="A26" s="7" t="s">
        <v>263</v>
      </c>
      <c r="B26" s="7" t="s">
        <v>255</v>
      </c>
      <c r="C26" s="7" t="s">
        <v>256</v>
      </c>
      <c r="D26" s="7" t="s">
        <v>237</v>
      </c>
    </row>
    <row r="27" spans="1:4" x14ac:dyDescent="0.25">
      <c r="A27" s="7" t="s">
        <v>264</v>
      </c>
      <c r="B27" s="7" t="s">
        <v>255</v>
      </c>
      <c r="C27" s="7" t="s">
        <v>256</v>
      </c>
      <c r="D27" s="7" t="s">
        <v>237</v>
      </c>
    </row>
    <row r="28" spans="1:4" x14ac:dyDescent="0.25">
      <c r="A28" s="7" t="s">
        <v>265</v>
      </c>
      <c r="B28" s="7" t="s">
        <v>255</v>
      </c>
      <c r="C28" s="7" t="s">
        <v>256</v>
      </c>
      <c r="D28" s="7" t="s">
        <v>237</v>
      </c>
    </row>
    <row r="29" spans="1:4" x14ac:dyDescent="0.25">
      <c r="A29" s="7" t="s">
        <v>266</v>
      </c>
      <c r="B29" s="7" t="s">
        <v>255</v>
      </c>
      <c r="C29" s="7" t="s">
        <v>256</v>
      </c>
      <c r="D29" s="7" t="s">
        <v>237</v>
      </c>
    </row>
    <row r="30" spans="1:4" x14ac:dyDescent="0.25">
      <c r="A30" s="7" t="s">
        <v>267</v>
      </c>
      <c r="B30" s="7" t="s">
        <v>255</v>
      </c>
      <c r="C30" s="7" t="s">
        <v>256</v>
      </c>
      <c r="D30" s="7" t="s">
        <v>237</v>
      </c>
    </row>
    <row r="31" spans="1:4" x14ac:dyDescent="0.25">
      <c r="A31" s="7" t="s">
        <v>268</v>
      </c>
      <c r="B31" s="7" t="s">
        <v>255</v>
      </c>
      <c r="C31" s="7" t="s">
        <v>256</v>
      </c>
      <c r="D31" s="7" t="s">
        <v>237</v>
      </c>
    </row>
    <row r="32" spans="1:4" x14ac:dyDescent="0.25">
      <c r="A32" s="7" t="s">
        <v>269</v>
      </c>
      <c r="B32" s="7" t="s">
        <v>255</v>
      </c>
      <c r="C32" s="7" t="s">
        <v>256</v>
      </c>
      <c r="D32" s="7" t="s">
        <v>237</v>
      </c>
    </row>
    <row r="33" spans="1:4" x14ac:dyDescent="0.25">
      <c r="A33" s="7" t="s">
        <v>270</v>
      </c>
      <c r="B33" s="7" t="s">
        <v>255</v>
      </c>
      <c r="C33" s="7" t="s">
        <v>256</v>
      </c>
      <c r="D33" s="7" t="s">
        <v>237</v>
      </c>
    </row>
    <row r="34" spans="1:4" x14ac:dyDescent="0.25">
      <c r="A34" s="7" t="s">
        <v>271</v>
      </c>
      <c r="B34" s="7" t="s">
        <v>255</v>
      </c>
      <c r="C34" s="7" t="s">
        <v>256</v>
      </c>
      <c r="D34" s="7" t="s">
        <v>237</v>
      </c>
    </row>
    <row r="35" spans="1:4" x14ac:dyDescent="0.25">
      <c r="A35" s="7" t="s">
        <v>272</v>
      </c>
      <c r="B35" s="7" t="s">
        <v>273</v>
      </c>
      <c r="C35" s="7" t="s">
        <v>256</v>
      </c>
      <c r="D35" s="7" t="s">
        <v>237</v>
      </c>
    </row>
    <row r="36" spans="1:4" x14ac:dyDescent="0.25">
      <c r="A36" s="7" t="s">
        <v>274</v>
      </c>
      <c r="B36" s="7" t="s">
        <v>273</v>
      </c>
      <c r="C36" s="7" t="s">
        <v>256</v>
      </c>
      <c r="D36" s="7" t="s">
        <v>237</v>
      </c>
    </row>
    <row r="37" spans="1:4" x14ac:dyDescent="0.25">
      <c r="A37" s="7" t="s">
        <v>275</v>
      </c>
      <c r="B37" s="7" t="s">
        <v>273</v>
      </c>
      <c r="C37" s="7" t="s">
        <v>256</v>
      </c>
      <c r="D37" s="7" t="s">
        <v>237</v>
      </c>
    </row>
    <row r="38" spans="1:4" x14ac:dyDescent="0.25">
      <c r="A38" s="7" t="s">
        <v>276</v>
      </c>
      <c r="B38" s="7" t="s">
        <v>273</v>
      </c>
      <c r="C38" s="7" t="s">
        <v>256</v>
      </c>
      <c r="D38" s="7" t="s">
        <v>237</v>
      </c>
    </row>
    <row r="39" spans="1:4" x14ac:dyDescent="0.25">
      <c r="A39" s="7" t="s">
        <v>277</v>
      </c>
      <c r="B39" s="7" t="s">
        <v>273</v>
      </c>
      <c r="C39" s="7" t="s">
        <v>256</v>
      </c>
      <c r="D39" s="7" t="s">
        <v>237</v>
      </c>
    </row>
    <row r="40" spans="1:4" x14ac:dyDescent="0.25">
      <c r="A40" s="7" t="s">
        <v>278</v>
      </c>
      <c r="B40" s="7" t="s">
        <v>273</v>
      </c>
      <c r="C40" s="7" t="s">
        <v>256</v>
      </c>
      <c r="D40" s="7" t="s">
        <v>237</v>
      </c>
    </row>
    <row r="41" spans="1:4" x14ac:dyDescent="0.25">
      <c r="A41" s="7" t="s">
        <v>279</v>
      </c>
      <c r="B41" s="7" t="s">
        <v>273</v>
      </c>
      <c r="C41" s="7" t="s">
        <v>256</v>
      </c>
      <c r="D41" s="7" t="s">
        <v>237</v>
      </c>
    </row>
    <row r="42" spans="1:4" x14ac:dyDescent="0.25">
      <c r="A42" s="7" t="s">
        <v>280</v>
      </c>
      <c r="B42" s="7" t="s">
        <v>273</v>
      </c>
      <c r="C42" s="7" t="s">
        <v>256</v>
      </c>
      <c r="D42" s="7" t="s">
        <v>237</v>
      </c>
    </row>
    <row r="43" spans="1:4" x14ac:dyDescent="0.25">
      <c r="A43" s="7" t="s">
        <v>281</v>
      </c>
      <c r="B43" s="7" t="s">
        <v>273</v>
      </c>
      <c r="C43" s="7" t="s">
        <v>256</v>
      </c>
      <c r="D43" s="7" t="s">
        <v>237</v>
      </c>
    </row>
    <row r="44" spans="1:4" x14ac:dyDescent="0.25">
      <c r="A44" s="7" t="s">
        <v>282</v>
      </c>
      <c r="B44" s="7" t="s">
        <v>273</v>
      </c>
      <c r="C44" s="7" t="s">
        <v>256</v>
      </c>
      <c r="D44" s="7" t="s">
        <v>237</v>
      </c>
    </row>
    <row r="45" spans="1:4" x14ac:dyDescent="0.25">
      <c r="A45" s="7" t="s">
        <v>283</v>
      </c>
      <c r="B45" s="7" t="s">
        <v>273</v>
      </c>
      <c r="C45" s="7" t="s">
        <v>256</v>
      </c>
      <c r="D45" s="7" t="s">
        <v>237</v>
      </c>
    </row>
    <row r="46" spans="1:4" x14ac:dyDescent="0.25">
      <c r="A46" s="7" t="s">
        <v>284</v>
      </c>
      <c r="B46" s="7" t="s">
        <v>273</v>
      </c>
      <c r="C46" s="7" t="s">
        <v>256</v>
      </c>
      <c r="D46" s="7" t="s">
        <v>237</v>
      </c>
    </row>
    <row r="47" spans="1:4" x14ac:dyDescent="0.25">
      <c r="A47" s="7" t="s">
        <v>285</v>
      </c>
      <c r="B47" s="7" t="s">
        <v>273</v>
      </c>
      <c r="C47" s="7" t="s">
        <v>256</v>
      </c>
      <c r="D47" s="7" t="s">
        <v>237</v>
      </c>
    </row>
    <row r="48" spans="1:4" x14ac:dyDescent="0.25">
      <c r="A48" s="7" t="s">
        <v>286</v>
      </c>
      <c r="B48" s="7" t="s">
        <v>273</v>
      </c>
      <c r="C48" s="7" t="s">
        <v>256</v>
      </c>
      <c r="D48" s="7" t="s">
        <v>237</v>
      </c>
    </row>
    <row r="49" spans="1:4" x14ac:dyDescent="0.25">
      <c r="A49" s="7" t="s">
        <v>287</v>
      </c>
      <c r="B49" s="7" t="s">
        <v>273</v>
      </c>
      <c r="C49" s="7" t="s">
        <v>256</v>
      </c>
      <c r="D49" s="7" t="s">
        <v>237</v>
      </c>
    </row>
    <row r="50" spans="1:4" x14ac:dyDescent="0.25">
      <c r="A50" s="7" t="s">
        <v>288</v>
      </c>
      <c r="B50" s="7" t="s">
        <v>273</v>
      </c>
      <c r="C50" s="7" t="s">
        <v>256</v>
      </c>
      <c r="D50" s="7" t="s">
        <v>237</v>
      </c>
    </row>
    <row r="51" spans="1:4" x14ac:dyDescent="0.25">
      <c r="A51" s="7" t="s">
        <v>289</v>
      </c>
      <c r="B51" s="7" t="s">
        <v>235</v>
      </c>
      <c r="C51" s="7" t="s">
        <v>236</v>
      </c>
      <c r="D51" s="7" t="s">
        <v>237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workbookViewId="0"/>
  </sheetViews>
  <sheetFormatPr defaultRowHeight="15" x14ac:dyDescent="0.25"/>
  <cols>
    <col min="1" max="1" width="6" customWidth="1"/>
    <col min="2" max="2" width="28" customWidth="1"/>
    <col min="3" max="3" width="14" customWidth="1"/>
    <col min="4" max="4" width="18" customWidth="1"/>
  </cols>
  <sheetData>
    <row r="1" spans="1:4" ht="30" x14ac:dyDescent="0.25">
      <c r="A1" s="6" t="s">
        <v>18</v>
      </c>
      <c r="B1" s="6" t="s">
        <v>33</v>
      </c>
      <c r="C1" s="6" t="s">
        <v>290</v>
      </c>
      <c r="D1" s="6" t="s">
        <v>291</v>
      </c>
    </row>
    <row r="2" spans="1:4" x14ac:dyDescent="0.25">
      <c r="A2" s="7">
        <v>1</v>
      </c>
      <c r="B2" s="7" t="s">
        <v>292</v>
      </c>
      <c r="C2" s="7" t="s">
        <v>293</v>
      </c>
      <c r="D2" s="7" t="s">
        <v>294</v>
      </c>
    </row>
    <row r="3" spans="1:4" x14ac:dyDescent="0.25">
      <c r="A3" s="7">
        <v>2</v>
      </c>
      <c r="B3" s="7" t="s">
        <v>295</v>
      </c>
      <c r="C3" s="7" t="s">
        <v>296</v>
      </c>
      <c r="D3" s="7" t="s">
        <v>297</v>
      </c>
    </row>
    <row r="4" spans="1:4" x14ac:dyDescent="0.25">
      <c r="A4" s="7">
        <v>3</v>
      </c>
      <c r="B4" s="7" t="s">
        <v>298</v>
      </c>
      <c r="C4" s="7" t="s">
        <v>293</v>
      </c>
      <c r="D4" s="7" t="s">
        <v>299</v>
      </c>
    </row>
    <row r="5" spans="1:4" x14ac:dyDescent="0.25">
      <c r="A5" s="7">
        <v>4</v>
      </c>
      <c r="B5" s="7" t="s">
        <v>300</v>
      </c>
      <c r="C5" s="7" t="s">
        <v>296</v>
      </c>
      <c r="D5" s="7" t="s">
        <v>301</v>
      </c>
    </row>
    <row r="6" spans="1:4" x14ac:dyDescent="0.25">
      <c r="A6" s="7">
        <v>5</v>
      </c>
      <c r="B6" s="7" t="s">
        <v>302</v>
      </c>
      <c r="C6" s="7" t="s">
        <v>293</v>
      </c>
      <c r="D6" s="7" t="s">
        <v>303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0" customWidth="1"/>
    <col min="3" max="3" width="26" customWidth="1"/>
    <col min="4" max="4" width="8" customWidth="1"/>
    <col min="5" max="5" width="10" customWidth="1"/>
    <col min="6" max="7" width="11" customWidth="1"/>
    <col min="8" max="8" width="13" customWidth="1"/>
    <col min="9" max="9" width="9" customWidth="1"/>
    <col min="10" max="10" width="11" customWidth="1"/>
    <col min="11" max="11" width="12" customWidth="1"/>
    <col min="12" max="12" width="10" customWidth="1"/>
  </cols>
  <sheetData>
    <row r="1" spans="1:12" ht="30" x14ac:dyDescent="0.25">
      <c r="A1" s="6" t="s">
        <v>304</v>
      </c>
      <c r="B1" s="6" t="s">
        <v>305</v>
      </c>
      <c r="C1" s="6" t="s">
        <v>306</v>
      </c>
      <c r="D1" s="6" t="s">
        <v>307</v>
      </c>
      <c r="E1" s="6" t="s">
        <v>308</v>
      </c>
      <c r="F1" s="6" t="s">
        <v>309</v>
      </c>
      <c r="G1" s="6" t="s">
        <v>310</v>
      </c>
      <c r="H1" s="6" t="s">
        <v>311</v>
      </c>
      <c r="I1" s="6" t="s">
        <v>312</v>
      </c>
      <c r="J1" s="6" t="s">
        <v>313</v>
      </c>
      <c r="K1" s="6" t="s">
        <v>314</v>
      </c>
      <c r="L1" s="6" t="s">
        <v>315</v>
      </c>
    </row>
    <row r="2" spans="1:12" x14ac:dyDescent="0.25">
      <c r="A2" s="7" t="s">
        <v>234</v>
      </c>
      <c r="B2" s="7" t="s">
        <v>30</v>
      </c>
      <c r="C2" s="7" t="s">
        <v>302</v>
      </c>
      <c r="D2" s="7">
        <v>2</v>
      </c>
      <c r="E2" s="7">
        <v>4</v>
      </c>
      <c r="F2" s="7">
        <v>3</v>
      </c>
      <c r="G2" s="7">
        <f t="shared" ref="G2:G19" si="0">D2*E2</f>
        <v>8</v>
      </c>
      <c r="H2" s="7">
        <f t="shared" ref="H2:H19" si="1">VLOOKUP(G2,Likelihood_MinTable,2,TRUE)</f>
        <v>2</v>
      </c>
      <c r="I2" s="7">
        <f t="shared" ref="I2:I19" si="2">H2*F2</f>
        <v>6</v>
      </c>
      <c r="J2" s="7">
        <f t="shared" ref="J2:J19" si="3">VLOOKUP(I2,Risk_MinTable,2,TRUE)</f>
        <v>7</v>
      </c>
      <c r="K2" s="7" t="str">
        <f t="shared" ref="K2:K19" si="4">VLOOKUP(J2,Risk_IdTable,4,FALSE)</f>
        <v>Low</v>
      </c>
      <c r="L2" s="7" t="str">
        <f t="shared" ref="L2:L19" si="5">VLOOKUP(J2,Risk_IdTable,5,FALSE)</f>
        <v>FFA9D18E</v>
      </c>
    </row>
    <row r="3" spans="1:12" x14ac:dyDescent="0.25">
      <c r="A3" s="7" t="s">
        <v>238</v>
      </c>
      <c r="B3" s="7" t="s">
        <v>32</v>
      </c>
      <c r="C3" s="7" t="s">
        <v>302</v>
      </c>
      <c r="D3" s="7">
        <v>2</v>
      </c>
      <c r="E3" s="7">
        <v>4</v>
      </c>
      <c r="F3" s="7">
        <v>2</v>
      </c>
      <c r="G3" s="7">
        <f t="shared" si="0"/>
        <v>8</v>
      </c>
      <c r="H3" s="7">
        <f t="shared" si="1"/>
        <v>2</v>
      </c>
      <c r="I3" s="7">
        <f t="shared" si="2"/>
        <v>4</v>
      </c>
      <c r="J3" s="7">
        <f t="shared" si="3"/>
        <v>6</v>
      </c>
      <c r="K3" s="7" t="str">
        <f t="shared" si="4"/>
        <v>Minimal</v>
      </c>
      <c r="L3" s="7" t="str">
        <f t="shared" si="5"/>
        <v>FF63BE7B</v>
      </c>
    </row>
    <row r="4" spans="1:12" x14ac:dyDescent="0.25">
      <c r="A4" s="7" t="s">
        <v>239</v>
      </c>
      <c r="B4" s="7" t="s">
        <v>24</v>
      </c>
      <c r="C4" s="7" t="s">
        <v>300</v>
      </c>
      <c r="D4" s="7">
        <v>2</v>
      </c>
      <c r="E4" s="7">
        <v>4</v>
      </c>
      <c r="F4" s="7">
        <v>2</v>
      </c>
      <c r="G4" s="7">
        <f t="shared" si="0"/>
        <v>8</v>
      </c>
      <c r="H4" s="7">
        <f t="shared" si="1"/>
        <v>2</v>
      </c>
      <c r="I4" s="7">
        <f t="shared" si="2"/>
        <v>4</v>
      </c>
      <c r="J4" s="7">
        <f t="shared" si="3"/>
        <v>6</v>
      </c>
      <c r="K4" s="7" t="str">
        <f t="shared" si="4"/>
        <v>Minimal</v>
      </c>
      <c r="L4" s="7" t="str">
        <f t="shared" si="5"/>
        <v>FF63BE7B</v>
      </c>
    </row>
    <row r="5" spans="1:12" x14ac:dyDescent="0.25">
      <c r="A5" s="7" t="s">
        <v>240</v>
      </c>
      <c r="B5" s="7" t="s">
        <v>26</v>
      </c>
      <c r="C5" s="7" t="s">
        <v>302</v>
      </c>
      <c r="D5" s="7">
        <v>2</v>
      </c>
      <c r="E5" s="7">
        <v>4</v>
      </c>
      <c r="F5" s="7">
        <v>4</v>
      </c>
      <c r="G5" s="7">
        <f t="shared" si="0"/>
        <v>8</v>
      </c>
      <c r="H5" s="7">
        <f t="shared" si="1"/>
        <v>2</v>
      </c>
      <c r="I5" s="7">
        <f t="shared" si="2"/>
        <v>8</v>
      </c>
      <c r="J5" s="7">
        <f t="shared" si="3"/>
        <v>7</v>
      </c>
      <c r="K5" s="7" t="str">
        <f t="shared" si="4"/>
        <v>Low</v>
      </c>
      <c r="L5" s="7" t="str">
        <f t="shared" si="5"/>
        <v>FFA9D18E</v>
      </c>
    </row>
    <row r="6" spans="1:12" x14ac:dyDescent="0.25">
      <c r="A6" s="7" t="s">
        <v>241</v>
      </c>
      <c r="B6" s="7" t="s">
        <v>32</v>
      </c>
      <c r="C6" s="7" t="s">
        <v>298</v>
      </c>
      <c r="D6" s="7">
        <v>2</v>
      </c>
      <c r="E6" s="7">
        <v>1</v>
      </c>
      <c r="F6" s="7">
        <v>2</v>
      </c>
      <c r="G6" s="7">
        <f t="shared" si="0"/>
        <v>2</v>
      </c>
      <c r="H6" s="7">
        <f t="shared" si="1"/>
        <v>1</v>
      </c>
      <c r="I6" s="7">
        <f t="shared" si="2"/>
        <v>2</v>
      </c>
      <c r="J6" s="7">
        <f t="shared" si="3"/>
        <v>6</v>
      </c>
      <c r="K6" s="7" t="str">
        <f t="shared" si="4"/>
        <v>Minimal</v>
      </c>
      <c r="L6" s="7" t="str">
        <f t="shared" si="5"/>
        <v>FF63BE7B</v>
      </c>
    </row>
    <row r="7" spans="1:12" x14ac:dyDescent="0.25">
      <c r="A7" s="7" t="s">
        <v>242</v>
      </c>
      <c r="B7" s="7" t="s">
        <v>22</v>
      </c>
      <c r="C7" s="7" t="s">
        <v>295</v>
      </c>
      <c r="D7" s="7">
        <v>1</v>
      </c>
      <c r="E7" s="7">
        <v>2</v>
      </c>
      <c r="F7" s="7">
        <v>4</v>
      </c>
      <c r="G7" s="7">
        <f t="shared" si="0"/>
        <v>2</v>
      </c>
      <c r="H7" s="7">
        <f t="shared" si="1"/>
        <v>1</v>
      </c>
      <c r="I7" s="7">
        <f t="shared" si="2"/>
        <v>4</v>
      </c>
      <c r="J7" s="7">
        <f t="shared" si="3"/>
        <v>6</v>
      </c>
      <c r="K7" s="7" t="str">
        <f t="shared" si="4"/>
        <v>Minimal</v>
      </c>
      <c r="L7" s="7" t="str">
        <f t="shared" si="5"/>
        <v>FF63BE7B</v>
      </c>
    </row>
    <row r="8" spans="1:12" x14ac:dyDescent="0.25">
      <c r="A8" s="7" t="s">
        <v>243</v>
      </c>
      <c r="B8" s="7" t="s">
        <v>24</v>
      </c>
      <c r="C8" s="7" t="s">
        <v>292</v>
      </c>
      <c r="D8" s="7">
        <v>1</v>
      </c>
      <c r="E8" s="7">
        <v>2</v>
      </c>
      <c r="F8" s="7">
        <v>1</v>
      </c>
      <c r="G8" s="7">
        <f t="shared" si="0"/>
        <v>2</v>
      </c>
      <c r="H8" s="7">
        <f t="shared" si="1"/>
        <v>1</v>
      </c>
      <c r="I8" s="7">
        <f t="shared" si="2"/>
        <v>1</v>
      </c>
      <c r="J8" s="7">
        <f t="shared" si="3"/>
        <v>6</v>
      </c>
      <c r="K8" s="7" t="str">
        <f t="shared" si="4"/>
        <v>Minimal</v>
      </c>
      <c r="L8" s="7" t="str">
        <f t="shared" si="5"/>
        <v>FF63BE7B</v>
      </c>
    </row>
    <row r="9" spans="1:12" x14ac:dyDescent="0.25">
      <c r="A9" s="7" t="s">
        <v>244</v>
      </c>
      <c r="B9" s="7" t="s">
        <v>22</v>
      </c>
      <c r="C9" s="7" t="s">
        <v>295</v>
      </c>
      <c r="D9" s="7">
        <v>2</v>
      </c>
      <c r="E9" s="7">
        <v>2</v>
      </c>
      <c r="F9" s="7">
        <v>2</v>
      </c>
      <c r="G9" s="7">
        <f t="shared" si="0"/>
        <v>4</v>
      </c>
      <c r="H9" s="7">
        <f t="shared" si="1"/>
        <v>1</v>
      </c>
      <c r="I9" s="7">
        <f t="shared" si="2"/>
        <v>2</v>
      </c>
      <c r="J9" s="7">
        <f t="shared" si="3"/>
        <v>6</v>
      </c>
      <c r="K9" s="7" t="str">
        <f t="shared" si="4"/>
        <v>Minimal</v>
      </c>
      <c r="L9" s="7" t="str">
        <f t="shared" si="5"/>
        <v>FF63BE7B</v>
      </c>
    </row>
    <row r="10" spans="1:12" x14ac:dyDescent="0.25">
      <c r="A10" s="7" t="s">
        <v>245</v>
      </c>
      <c r="B10" s="7" t="s">
        <v>32</v>
      </c>
      <c r="C10" s="7" t="s">
        <v>292</v>
      </c>
      <c r="D10" s="7">
        <v>4</v>
      </c>
      <c r="E10" s="7">
        <v>2</v>
      </c>
      <c r="F10" s="7">
        <v>4</v>
      </c>
      <c r="G10" s="7">
        <f t="shared" si="0"/>
        <v>8</v>
      </c>
      <c r="H10" s="7">
        <f t="shared" si="1"/>
        <v>2</v>
      </c>
      <c r="I10" s="7">
        <f t="shared" si="2"/>
        <v>8</v>
      </c>
      <c r="J10" s="7">
        <f t="shared" si="3"/>
        <v>7</v>
      </c>
      <c r="K10" s="7" t="str">
        <f t="shared" si="4"/>
        <v>Low</v>
      </c>
      <c r="L10" s="7" t="str">
        <f t="shared" si="5"/>
        <v>FFA9D18E</v>
      </c>
    </row>
    <row r="11" spans="1:12" x14ac:dyDescent="0.25">
      <c r="A11" s="7" t="s">
        <v>246</v>
      </c>
      <c r="B11" s="7" t="s">
        <v>22</v>
      </c>
      <c r="C11" s="7" t="s">
        <v>298</v>
      </c>
      <c r="D11" s="7">
        <v>4</v>
      </c>
      <c r="E11" s="7">
        <v>4</v>
      </c>
      <c r="F11" s="7">
        <v>2</v>
      </c>
      <c r="G11" s="7">
        <f t="shared" si="0"/>
        <v>16</v>
      </c>
      <c r="H11" s="7">
        <f t="shared" si="1"/>
        <v>4</v>
      </c>
      <c r="I11" s="7">
        <f t="shared" si="2"/>
        <v>8</v>
      </c>
      <c r="J11" s="7">
        <f t="shared" si="3"/>
        <v>7</v>
      </c>
      <c r="K11" s="7" t="str">
        <f t="shared" si="4"/>
        <v>Low</v>
      </c>
      <c r="L11" s="7" t="str">
        <f t="shared" si="5"/>
        <v>FFA9D18E</v>
      </c>
    </row>
    <row r="12" spans="1:12" x14ac:dyDescent="0.25">
      <c r="A12" s="7" t="s">
        <v>247</v>
      </c>
      <c r="B12" s="7" t="s">
        <v>28</v>
      </c>
      <c r="C12" s="7" t="s">
        <v>302</v>
      </c>
      <c r="D12" s="7">
        <v>2</v>
      </c>
      <c r="E12" s="7">
        <v>2</v>
      </c>
      <c r="F12" s="7">
        <v>4</v>
      </c>
      <c r="G12" s="7">
        <f t="shared" si="0"/>
        <v>4</v>
      </c>
      <c r="H12" s="7">
        <f t="shared" si="1"/>
        <v>1</v>
      </c>
      <c r="I12" s="7">
        <f t="shared" si="2"/>
        <v>4</v>
      </c>
      <c r="J12" s="7">
        <f t="shared" si="3"/>
        <v>6</v>
      </c>
      <c r="K12" s="7" t="str">
        <f t="shared" si="4"/>
        <v>Minimal</v>
      </c>
      <c r="L12" s="7" t="str">
        <f t="shared" si="5"/>
        <v>FF63BE7B</v>
      </c>
    </row>
    <row r="13" spans="1:12" x14ac:dyDescent="0.25">
      <c r="A13" s="7" t="s">
        <v>248</v>
      </c>
      <c r="B13" s="7" t="s">
        <v>24</v>
      </c>
      <c r="C13" s="7" t="s">
        <v>300</v>
      </c>
      <c r="D13" s="7">
        <v>3</v>
      </c>
      <c r="E13" s="7">
        <v>3</v>
      </c>
      <c r="F13" s="7">
        <v>3</v>
      </c>
      <c r="G13" s="7">
        <f t="shared" si="0"/>
        <v>9</v>
      </c>
      <c r="H13" s="7">
        <f t="shared" si="1"/>
        <v>2</v>
      </c>
      <c r="I13" s="7">
        <f t="shared" si="2"/>
        <v>6</v>
      </c>
      <c r="J13" s="7">
        <f t="shared" si="3"/>
        <v>7</v>
      </c>
      <c r="K13" s="7" t="str">
        <f t="shared" si="4"/>
        <v>Low</v>
      </c>
      <c r="L13" s="7" t="str">
        <f t="shared" si="5"/>
        <v>FFA9D18E</v>
      </c>
    </row>
    <row r="14" spans="1:12" x14ac:dyDescent="0.25">
      <c r="A14" s="7" t="s">
        <v>249</v>
      </c>
      <c r="B14" s="7" t="s">
        <v>26</v>
      </c>
      <c r="C14" s="7" t="s">
        <v>300</v>
      </c>
      <c r="D14" s="7">
        <v>1</v>
      </c>
      <c r="E14" s="7">
        <v>2</v>
      </c>
      <c r="F14" s="7">
        <v>0</v>
      </c>
      <c r="G14" s="7">
        <f t="shared" si="0"/>
        <v>2</v>
      </c>
      <c r="H14" s="7">
        <f t="shared" si="1"/>
        <v>1</v>
      </c>
      <c r="I14" s="7">
        <f t="shared" si="2"/>
        <v>0</v>
      </c>
      <c r="J14" s="7">
        <f t="shared" si="3"/>
        <v>6</v>
      </c>
      <c r="K14" s="7" t="str">
        <f t="shared" si="4"/>
        <v>Minimal</v>
      </c>
      <c r="L14" s="7" t="str">
        <f t="shared" si="5"/>
        <v>FF63BE7B</v>
      </c>
    </row>
    <row r="15" spans="1:12" x14ac:dyDescent="0.25">
      <c r="A15" s="7" t="s">
        <v>250</v>
      </c>
      <c r="B15" s="7" t="s">
        <v>30</v>
      </c>
      <c r="C15" s="7" t="s">
        <v>302</v>
      </c>
      <c r="D15" s="7">
        <v>3</v>
      </c>
      <c r="E15" s="7">
        <v>4</v>
      </c>
      <c r="F15" s="7">
        <v>4</v>
      </c>
      <c r="G15" s="7">
        <f t="shared" si="0"/>
        <v>12</v>
      </c>
      <c r="H15" s="7">
        <f t="shared" si="1"/>
        <v>3</v>
      </c>
      <c r="I15" s="7">
        <f t="shared" si="2"/>
        <v>12</v>
      </c>
      <c r="J15" s="7">
        <f t="shared" si="3"/>
        <v>8</v>
      </c>
      <c r="K15" s="7" t="str">
        <f t="shared" si="4"/>
        <v>Moderate</v>
      </c>
      <c r="L15" s="7" t="str">
        <f t="shared" si="5"/>
        <v>FFFFEB84</v>
      </c>
    </row>
    <row r="16" spans="1:12" x14ac:dyDescent="0.25">
      <c r="A16" s="7" t="s">
        <v>251</v>
      </c>
      <c r="B16" s="7" t="s">
        <v>22</v>
      </c>
      <c r="C16" s="7" t="s">
        <v>292</v>
      </c>
      <c r="D16" s="7">
        <v>0</v>
      </c>
      <c r="E16" s="7">
        <v>2</v>
      </c>
      <c r="F16" s="7">
        <v>3</v>
      </c>
      <c r="G16" s="7">
        <f t="shared" si="0"/>
        <v>0</v>
      </c>
      <c r="H16" s="7">
        <f t="shared" si="1"/>
        <v>1</v>
      </c>
      <c r="I16" s="7">
        <f t="shared" si="2"/>
        <v>3</v>
      </c>
      <c r="J16" s="7">
        <f t="shared" si="3"/>
        <v>6</v>
      </c>
      <c r="K16" s="7" t="str">
        <f t="shared" si="4"/>
        <v>Minimal</v>
      </c>
      <c r="L16" s="7" t="str">
        <f t="shared" si="5"/>
        <v>FF63BE7B</v>
      </c>
    </row>
    <row r="17" spans="1:12" x14ac:dyDescent="0.25">
      <c r="A17" s="7" t="s">
        <v>252</v>
      </c>
      <c r="B17" s="7" t="s">
        <v>22</v>
      </c>
      <c r="C17" s="7" t="s">
        <v>298</v>
      </c>
      <c r="D17" s="7">
        <v>3</v>
      </c>
      <c r="E17" s="7">
        <v>1</v>
      </c>
      <c r="F17" s="7">
        <v>2</v>
      </c>
      <c r="G17" s="7">
        <f t="shared" si="0"/>
        <v>3</v>
      </c>
      <c r="H17" s="7">
        <f t="shared" si="1"/>
        <v>1</v>
      </c>
      <c r="I17" s="7">
        <f t="shared" si="2"/>
        <v>2</v>
      </c>
      <c r="J17" s="7">
        <f t="shared" si="3"/>
        <v>6</v>
      </c>
      <c r="K17" s="7" t="str">
        <f t="shared" si="4"/>
        <v>Minimal</v>
      </c>
      <c r="L17" s="7" t="str">
        <f t="shared" si="5"/>
        <v>FF63BE7B</v>
      </c>
    </row>
    <row r="18" spans="1:12" x14ac:dyDescent="0.25">
      <c r="A18" s="7" t="s">
        <v>253</v>
      </c>
      <c r="B18" s="7" t="s">
        <v>28</v>
      </c>
      <c r="C18" s="7" t="s">
        <v>298</v>
      </c>
      <c r="D18" s="7">
        <v>2</v>
      </c>
      <c r="E18" s="7">
        <v>1</v>
      </c>
      <c r="F18" s="7">
        <v>2</v>
      </c>
      <c r="G18" s="7">
        <f t="shared" si="0"/>
        <v>2</v>
      </c>
      <c r="H18" s="7">
        <f t="shared" si="1"/>
        <v>1</v>
      </c>
      <c r="I18" s="7">
        <f t="shared" si="2"/>
        <v>2</v>
      </c>
      <c r="J18" s="7">
        <f t="shared" si="3"/>
        <v>6</v>
      </c>
      <c r="K18" s="7" t="str">
        <f t="shared" si="4"/>
        <v>Minimal</v>
      </c>
      <c r="L18" s="7" t="str">
        <f t="shared" si="5"/>
        <v>FF63BE7B</v>
      </c>
    </row>
    <row r="19" spans="1:12" x14ac:dyDescent="0.25">
      <c r="A19" s="7" t="s">
        <v>289</v>
      </c>
      <c r="B19" s="7" t="s">
        <v>22</v>
      </c>
      <c r="C19" s="7" t="s">
        <v>300</v>
      </c>
      <c r="D19" s="7">
        <v>4</v>
      </c>
      <c r="E19" s="7">
        <v>4</v>
      </c>
      <c r="F19" s="7">
        <v>2</v>
      </c>
      <c r="G19" s="7">
        <f t="shared" si="0"/>
        <v>16</v>
      </c>
      <c r="H19" s="7">
        <f t="shared" si="1"/>
        <v>4</v>
      </c>
      <c r="I19" s="7">
        <f t="shared" si="2"/>
        <v>8</v>
      </c>
      <c r="J19" s="7">
        <f t="shared" si="3"/>
        <v>7</v>
      </c>
      <c r="K19" s="7" t="str">
        <f t="shared" si="4"/>
        <v>Low</v>
      </c>
      <c r="L19" s="7" t="str">
        <f t="shared" si="5"/>
        <v>FFA9D18E</v>
      </c>
    </row>
  </sheetData>
  <conditionalFormatting sqref="K2:K19">
    <cfRule type="cellIs" dxfId="14" priority="1" operator="equal">
      <formula>"Minimal"</formula>
    </cfRule>
    <cfRule type="cellIs" dxfId="13" priority="2" operator="equal">
      <formula>"Low"</formula>
    </cfRule>
    <cfRule type="cellIs" dxfId="12" priority="3" operator="equal">
      <formula>"Moderate"</formula>
    </cfRule>
    <cfRule type="cellIs" dxfId="11" priority="4" operator="equal">
      <formula>"High"</formula>
    </cfRule>
    <cfRule type="cellIs" dxfId="10" priority="5" operator="equal">
      <formula>"Very High"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showGridLines="0" workbookViewId="0"/>
  </sheetViews>
  <sheetFormatPr defaultRowHeight="15" x14ac:dyDescent="0.25"/>
  <cols>
    <col min="1" max="1" width="6" customWidth="1"/>
    <col min="2" max="2" width="32" customWidth="1"/>
    <col min="3" max="3" width="14" customWidth="1"/>
    <col min="4" max="5" width="18" customWidth="1"/>
  </cols>
  <sheetData>
    <row r="1" spans="1:5" ht="30" x14ac:dyDescent="0.25">
      <c r="A1" s="6" t="s">
        <v>18</v>
      </c>
      <c r="B1" s="6" t="s">
        <v>33</v>
      </c>
      <c r="C1" s="6" t="s">
        <v>316</v>
      </c>
      <c r="D1" s="6" t="s">
        <v>317</v>
      </c>
      <c r="E1" s="6" t="s">
        <v>318</v>
      </c>
    </row>
    <row r="2" spans="1:5" x14ac:dyDescent="0.25">
      <c r="A2" s="7">
        <v>1</v>
      </c>
      <c r="B2" s="7" t="s">
        <v>319</v>
      </c>
      <c r="C2" s="7" t="s">
        <v>320</v>
      </c>
      <c r="D2" s="7" t="s">
        <v>321</v>
      </c>
      <c r="E2" s="7" t="s">
        <v>322</v>
      </c>
    </row>
    <row r="3" spans="1:5" x14ac:dyDescent="0.25">
      <c r="A3" s="7">
        <v>2</v>
      </c>
      <c r="B3" s="7" t="s">
        <v>323</v>
      </c>
      <c r="C3" s="7" t="s">
        <v>324</v>
      </c>
      <c r="D3" s="7" t="s">
        <v>53</v>
      </c>
      <c r="E3" s="7" t="s">
        <v>325</v>
      </c>
    </row>
    <row r="4" spans="1:5" x14ac:dyDescent="0.25">
      <c r="A4" s="7">
        <v>3</v>
      </c>
      <c r="B4" s="7" t="s">
        <v>326</v>
      </c>
      <c r="C4" s="7" t="s">
        <v>327</v>
      </c>
      <c r="D4" s="7" t="s">
        <v>328</v>
      </c>
      <c r="E4" s="7" t="s">
        <v>329</v>
      </c>
    </row>
    <row r="5" spans="1:5" x14ac:dyDescent="0.25">
      <c r="A5" s="7">
        <v>4</v>
      </c>
      <c r="B5" s="7" t="s">
        <v>330</v>
      </c>
      <c r="C5" s="7" t="s">
        <v>327</v>
      </c>
      <c r="D5" s="7" t="s">
        <v>321</v>
      </c>
      <c r="E5" s="7" t="s">
        <v>331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30" customWidth="1"/>
    <col min="4" max="4" width="16" customWidth="1"/>
    <col min="5" max="5" width="9" customWidth="1"/>
    <col min="6" max="6" width="10" customWidth="1"/>
    <col min="7" max="7" width="7" customWidth="1"/>
    <col min="8" max="8" width="8" customWidth="1"/>
    <col min="9" max="9" width="11" customWidth="1"/>
    <col min="10" max="10" width="13" customWidth="1"/>
    <col min="11" max="11" width="10" customWidth="1"/>
  </cols>
  <sheetData>
    <row r="1" spans="1:11" ht="30" x14ac:dyDescent="0.25">
      <c r="A1" s="6" t="s">
        <v>304</v>
      </c>
      <c r="B1" s="6" t="s">
        <v>305</v>
      </c>
      <c r="C1" s="6" t="s">
        <v>332</v>
      </c>
      <c r="D1" s="6" t="s">
        <v>318</v>
      </c>
      <c r="E1" s="6" t="s">
        <v>333</v>
      </c>
      <c r="F1" s="6" t="s">
        <v>334</v>
      </c>
      <c r="G1" s="6" t="s">
        <v>335</v>
      </c>
      <c r="H1" s="6" t="s">
        <v>256</v>
      </c>
      <c r="I1" s="6" t="s">
        <v>336</v>
      </c>
      <c r="J1" s="6" t="s">
        <v>337</v>
      </c>
      <c r="K1" s="6" t="s">
        <v>338</v>
      </c>
    </row>
    <row r="2" spans="1:11" x14ac:dyDescent="0.25">
      <c r="A2" s="7" t="s">
        <v>254</v>
      </c>
      <c r="B2" s="7" t="s">
        <v>26</v>
      </c>
      <c r="C2" s="7" t="s">
        <v>323</v>
      </c>
      <c r="D2" s="7" t="s">
        <v>325</v>
      </c>
      <c r="E2" s="7">
        <v>0</v>
      </c>
      <c r="F2" s="7">
        <v>3</v>
      </c>
      <c r="G2" s="7">
        <v>5</v>
      </c>
      <c r="H2" s="7">
        <f t="shared" ref="H2:H17" si="0">E2+F2+G2</f>
        <v>8</v>
      </c>
      <c r="I2" s="7">
        <f t="shared" ref="I2:I17" si="1">VLOOKUP(H2,Value_MinTable,2,TRUE)</f>
        <v>13</v>
      </c>
      <c r="J2" s="7" t="str">
        <f t="shared" ref="J2:J17" si="2">VLOOKUP(I2,Value_IdTable,4,FALSE)</f>
        <v>Moderate</v>
      </c>
      <c r="K2" s="7" t="str">
        <f t="shared" ref="K2:K17" si="3">VLOOKUP(I2,Value_IdTable,5,FALSE)</f>
        <v>FFFFEB84</v>
      </c>
    </row>
    <row r="3" spans="1:11" x14ac:dyDescent="0.25">
      <c r="A3" s="7" t="s">
        <v>257</v>
      </c>
      <c r="B3" s="7" t="s">
        <v>22</v>
      </c>
      <c r="C3" s="7" t="s">
        <v>323</v>
      </c>
      <c r="D3" s="7" t="s">
        <v>325</v>
      </c>
      <c r="E3" s="7">
        <v>3</v>
      </c>
      <c r="F3" s="7">
        <v>4</v>
      </c>
      <c r="G3" s="7">
        <v>3</v>
      </c>
      <c r="H3" s="7">
        <f t="shared" si="0"/>
        <v>10</v>
      </c>
      <c r="I3" s="7">
        <f t="shared" si="1"/>
        <v>14</v>
      </c>
      <c r="J3" s="7" t="str">
        <f t="shared" si="2"/>
        <v>Significant</v>
      </c>
      <c r="K3" s="7" t="str">
        <f t="shared" si="3"/>
        <v>FFA9D18E</v>
      </c>
    </row>
    <row r="4" spans="1:11" x14ac:dyDescent="0.25">
      <c r="A4" s="7" t="s">
        <v>258</v>
      </c>
      <c r="B4" s="7" t="s">
        <v>24</v>
      </c>
      <c r="C4" s="7" t="s">
        <v>330</v>
      </c>
      <c r="D4" s="7" t="s">
        <v>331</v>
      </c>
      <c r="E4" s="7">
        <v>1</v>
      </c>
      <c r="F4" s="7">
        <v>0</v>
      </c>
      <c r="G4" s="7">
        <v>1</v>
      </c>
      <c r="H4" s="7">
        <f t="shared" si="0"/>
        <v>2</v>
      </c>
      <c r="I4" s="7">
        <f t="shared" si="1"/>
        <v>11</v>
      </c>
      <c r="J4" s="7" t="str">
        <f t="shared" si="2"/>
        <v>Minimal</v>
      </c>
      <c r="K4" s="7" t="str">
        <f t="shared" si="3"/>
        <v>FFE06666</v>
      </c>
    </row>
    <row r="5" spans="1:11" x14ac:dyDescent="0.25">
      <c r="A5" s="7" t="s">
        <v>259</v>
      </c>
      <c r="B5" s="7" t="s">
        <v>32</v>
      </c>
      <c r="C5" s="7" t="s">
        <v>326</v>
      </c>
      <c r="D5" s="7" t="s">
        <v>329</v>
      </c>
      <c r="E5" s="7">
        <v>3</v>
      </c>
      <c r="F5" s="7">
        <v>3</v>
      </c>
      <c r="G5" s="7">
        <v>1</v>
      </c>
      <c r="H5" s="7">
        <f t="shared" si="0"/>
        <v>7</v>
      </c>
      <c r="I5" s="7">
        <f t="shared" si="1"/>
        <v>13</v>
      </c>
      <c r="J5" s="7" t="str">
        <f t="shared" si="2"/>
        <v>Moderate</v>
      </c>
      <c r="K5" s="7" t="str">
        <f t="shared" si="3"/>
        <v>FFFFEB84</v>
      </c>
    </row>
    <row r="6" spans="1:11" x14ac:dyDescent="0.25">
      <c r="A6" s="7" t="s">
        <v>260</v>
      </c>
      <c r="B6" s="7" t="s">
        <v>32</v>
      </c>
      <c r="C6" s="7" t="s">
        <v>319</v>
      </c>
      <c r="D6" s="7" t="s">
        <v>322</v>
      </c>
      <c r="E6" s="7">
        <v>4</v>
      </c>
      <c r="F6" s="7">
        <v>1</v>
      </c>
      <c r="G6" s="7">
        <v>3</v>
      </c>
      <c r="H6" s="7">
        <f t="shared" si="0"/>
        <v>8</v>
      </c>
      <c r="I6" s="7">
        <f t="shared" si="1"/>
        <v>13</v>
      </c>
      <c r="J6" s="7" t="str">
        <f t="shared" si="2"/>
        <v>Moderate</v>
      </c>
      <c r="K6" s="7" t="str">
        <f t="shared" si="3"/>
        <v>FFFFEB84</v>
      </c>
    </row>
    <row r="7" spans="1:11" x14ac:dyDescent="0.25">
      <c r="A7" s="7" t="s">
        <v>261</v>
      </c>
      <c r="B7" s="7" t="s">
        <v>30</v>
      </c>
      <c r="C7" s="7" t="s">
        <v>319</v>
      </c>
      <c r="D7" s="7" t="s">
        <v>322</v>
      </c>
      <c r="E7" s="7">
        <v>4</v>
      </c>
      <c r="F7" s="7">
        <v>1</v>
      </c>
      <c r="G7" s="7">
        <v>2</v>
      </c>
      <c r="H7" s="7">
        <f t="shared" si="0"/>
        <v>7</v>
      </c>
      <c r="I7" s="7">
        <f t="shared" si="1"/>
        <v>13</v>
      </c>
      <c r="J7" s="7" t="str">
        <f t="shared" si="2"/>
        <v>Moderate</v>
      </c>
      <c r="K7" s="7" t="str">
        <f t="shared" si="3"/>
        <v>FFFFEB84</v>
      </c>
    </row>
    <row r="8" spans="1:11" x14ac:dyDescent="0.25">
      <c r="A8" s="7" t="s">
        <v>262</v>
      </c>
      <c r="B8" s="7" t="s">
        <v>28</v>
      </c>
      <c r="C8" s="7" t="s">
        <v>330</v>
      </c>
      <c r="D8" s="7" t="s">
        <v>331</v>
      </c>
      <c r="E8" s="7">
        <v>4</v>
      </c>
      <c r="F8" s="7">
        <v>3</v>
      </c>
      <c r="G8" s="7">
        <v>4</v>
      </c>
      <c r="H8" s="7">
        <f t="shared" si="0"/>
        <v>11</v>
      </c>
      <c r="I8" s="7">
        <f t="shared" si="1"/>
        <v>14</v>
      </c>
      <c r="J8" s="7" t="str">
        <f t="shared" si="2"/>
        <v>Significant</v>
      </c>
      <c r="K8" s="7" t="str">
        <f t="shared" si="3"/>
        <v>FFA9D18E</v>
      </c>
    </row>
    <row r="9" spans="1:11" x14ac:dyDescent="0.25">
      <c r="A9" s="7" t="s">
        <v>263</v>
      </c>
      <c r="B9" s="7" t="s">
        <v>32</v>
      </c>
      <c r="C9" s="7" t="s">
        <v>323</v>
      </c>
      <c r="D9" s="7" t="s">
        <v>325</v>
      </c>
      <c r="E9" s="7">
        <v>5</v>
      </c>
      <c r="F9" s="7">
        <v>1</v>
      </c>
      <c r="G9" s="7">
        <v>3</v>
      </c>
      <c r="H9" s="7">
        <f t="shared" si="0"/>
        <v>9</v>
      </c>
      <c r="I9" s="7">
        <f t="shared" si="1"/>
        <v>14</v>
      </c>
      <c r="J9" s="7" t="str">
        <f t="shared" si="2"/>
        <v>Significant</v>
      </c>
      <c r="K9" s="7" t="str">
        <f t="shared" si="3"/>
        <v>FFA9D18E</v>
      </c>
    </row>
    <row r="10" spans="1:11" x14ac:dyDescent="0.25">
      <c r="A10" s="7" t="s">
        <v>264</v>
      </c>
      <c r="B10" s="7" t="s">
        <v>30</v>
      </c>
      <c r="C10" s="7" t="s">
        <v>319</v>
      </c>
      <c r="D10" s="7" t="s">
        <v>322</v>
      </c>
      <c r="E10" s="7">
        <v>1</v>
      </c>
      <c r="F10" s="7">
        <v>4</v>
      </c>
      <c r="G10" s="7">
        <v>4</v>
      </c>
      <c r="H10" s="7">
        <f t="shared" si="0"/>
        <v>9</v>
      </c>
      <c r="I10" s="7">
        <f t="shared" si="1"/>
        <v>14</v>
      </c>
      <c r="J10" s="7" t="str">
        <f t="shared" si="2"/>
        <v>Significant</v>
      </c>
      <c r="K10" s="7" t="str">
        <f t="shared" si="3"/>
        <v>FFA9D18E</v>
      </c>
    </row>
    <row r="11" spans="1:11" x14ac:dyDescent="0.25">
      <c r="A11" s="7" t="s">
        <v>265</v>
      </c>
      <c r="B11" s="7" t="s">
        <v>30</v>
      </c>
      <c r="C11" s="7" t="s">
        <v>330</v>
      </c>
      <c r="D11" s="7" t="s">
        <v>331</v>
      </c>
      <c r="E11" s="7">
        <v>4</v>
      </c>
      <c r="F11" s="7">
        <v>3</v>
      </c>
      <c r="G11" s="7">
        <v>0</v>
      </c>
      <c r="H11" s="7">
        <f t="shared" si="0"/>
        <v>7</v>
      </c>
      <c r="I11" s="7">
        <f t="shared" si="1"/>
        <v>13</v>
      </c>
      <c r="J11" s="7" t="str">
        <f t="shared" si="2"/>
        <v>Moderate</v>
      </c>
      <c r="K11" s="7" t="str">
        <f t="shared" si="3"/>
        <v>FFFFEB84</v>
      </c>
    </row>
    <row r="12" spans="1:11" x14ac:dyDescent="0.25">
      <c r="A12" s="7" t="s">
        <v>266</v>
      </c>
      <c r="B12" s="7" t="s">
        <v>22</v>
      </c>
      <c r="C12" s="7" t="s">
        <v>330</v>
      </c>
      <c r="D12" s="7" t="s">
        <v>331</v>
      </c>
      <c r="E12" s="7">
        <v>3</v>
      </c>
      <c r="F12" s="7">
        <v>1</v>
      </c>
      <c r="G12" s="7">
        <v>3</v>
      </c>
      <c r="H12" s="7">
        <f t="shared" si="0"/>
        <v>7</v>
      </c>
      <c r="I12" s="7">
        <f t="shared" si="1"/>
        <v>13</v>
      </c>
      <c r="J12" s="7" t="str">
        <f t="shared" si="2"/>
        <v>Moderate</v>
      </c>
      <c r="K12" s="7" t="str">
        <f t="shared" si="3"/>
        <v>FFFFEB84</v>
      </c>
    </row>
    <row r="13" spans="1:11" x14ac:dyDescent="0.25">
      <c r="A13" s="7" t="s">
        <v>267</v>
      </c>
      <c r="B13" s="7" t="s">
        <v>32</v>
      </c>
      <c r="C13" s="7" t="s">
        <v>330</v>
      </c>
      <c r="D13" s="7" t="s">
        <v>331</v>
      </c>
      <c r="E13" s="7">
        <v>4</v>
      </c>
      <c r="F13" s="7">
        <v>1</v>
      </c>
      <c r="G13" s="7">
        <v>5</v>
      </c>
      <c r="H13" s="7">
        <f t="shared" si="0"/>
        <v>10</v>
      </c>
      <c r="I13" s="7">
        <f t="shared" si="1"/>
        <v>14</v>
      </c>
      <c r="J13" s="7" t="str">
        <f t="shared" si="2"/>
        <v>Significant</v>
      </c>
      <c r="K13" s="7" t="str">
        <f t="shared" si="3"/>
        <v>FFA9D18E</v>
      </c>
    </row>
    <row r="14" spans="1:11" x14ac:dyDescent="0.25">
      <c r="A14" s="7" t="s">
        <v>268</v>
      </c>
      <c r="B14" s="7" t="s">
        <v>32</v>
      </c>
      <c r="C14" s="7" t="s">
        <v>326</v>
      </c>
      <c r="D14" s="7" t="s">
        <v>329</v>
      </c>
      <c r="E14" s="7">
        <v>3</v>
      </c>
      <c r="F14" s="7">
        <v>2</v>
      </c>
      <c r="G14" s="7">
        <v>3</v>
      </c>
      <c r="H14" s="7">
        <f t="shared" si="0"/>
        <v>8</v>
      </c>
      <c r="I14" s="7">
        <f t="shared" si="1"/>
        <v>13</v>
      </c>
      <c r="J14" s="7" t="str">
        <f t="shared" si="2"/>
        <v>Moderate</v>
      </c>
      <c r="K14" s="7" t="str">
        <f t="shared" si="3"/>
        <v>FFFFEB84</v>
      </c>
    </row>
    <row r="15" spans="1:11" x14ac:dyDescent="0.25">
      <c r="A15" s="7" t="s">
        <v>269</v>
      </c>
      <c r="B15" s="7" t="s">
        <v>28</v>
      </c>
      <c r="C15" s="7" t="s">
        <v>330</v>
      </c>
      <c r="D15" s="7" t="s">
        <v>331</v>
      </c>
      <c r="E15" s="7">
        <v>3</v>
      </c>
      <c r="F15" s="7">
        <v>4</v>
      </c>
      <c r="G15" s="7">
        <v>4</v>
      </c>
      <c r="H15" s="7">
        <f t="shared" si="0"/>
        <v>11</v>
      </c>
      <c r="I15" s="7">
        <f t="shared" si="1"/>
        <v>14</v>
      </c>
      <c r="J15" s="7" t="str">
        <f t="shared" si="2"/>
        <v>Significant</v>
      </c>
      <c r="K15" s="7" t="str">
        <f t="shared" si="3"/>
        <v>FFA9D18E</v>
      </c>
    </row>
    <row r="16" spans="1:11" x14ac:dyDescent="0.25">
      <c r="A16" s="7" t="s">
        <v>270</v>
      </c>
      <c r="B16" s="7" t="s">
        <v>24</v>
      </c>
      <c r="C16" s="7" t="s">
        <v>319</v>
      </c>
      <c r="D16" s="7" t="s">
        <v>322</v>
      </c>
      <c r="E16" s="7">
        <v>4</v>
      </c>
      <c r="F16" s="7">
        <v>3</v>
      </c>
      <c r="G16" s="7">
        <v>2</v>
      </c>
      <c r="H16" s="7">
        <f t="shared" si="0"/>
        <v>9</v>
      </c>
      <c r="I16" s="7">
        <f t="shared" si="1"/>
        <v>14</v>
      </c>
      <c r="J16" s="7" t="str">
        <f t="shared" si="2"/>
        <v>Significant</v>
      </c>
      <c r="K16" s="7" t="str">
        <f t="shared" si="3"/>
        <v>FFA9D18E</v>
      </c>
    </row>
    <row r="17" spans="1:11" x14ac:dyDescent="0.25">
      <c r="A17" s="7" t="s">
        <v>271</v>
      </c>
      <c r="B17" s="7" t="s">
        <v>30</v>
      </c>
      <c r="C17" s="7" t="s">
        <v>330</v>
      </c>
      <c r="D17" s="7" t="s">
        <v>331</v>
      </c>
      <c r="E17" s="7">
        <v>2</v>
      </c>
      <c r="F17" s="7">
        <v>2</v>
      </c>
      <c r="G17" s="7">
        <v>4</v>
      </c>
      <c r="H17" s="7">
        <f t="shared" si="0"/>
        <v>8</v>
      </c>
      <c r="I17" s="7">
        <f t="shared" si="1"/>
        <v>13</v>
      </c>
      <c r="J17" s="7" t="str">
        <f t="shared" si="2"/>
        <v>Moderate</v>
      </c>
      <c r="K17" s="7" t="str">
        <f t="shared" si="3"/>
        <v>FFFFEB84</v>
      </c>
    </row>
  </sheetData>
  <conditionalFormatting sqref="J2:J17">
    <cfRule type="cellIs" dxfId="9" priority="1" operator="equal">
      <formula>"Minimal"</formula>
    </cfRule>
    <cfRule type="cellIs" dxfId="8" priority="2" operator="equal">
      <formula>"Limited"</formula>
    </cfRule>
    <cfRule type="cellIs" dxfId="7" priority="3" operator="equal">
      <formula>"Moderate"</formula>
    </cfRule>
    <cfRule type="cellIs" dxfId="6" priority="4" operator="equal">
      <formula>"Significant"</formula>
    </cfRule>
    <cfRule type="cellIs" dxfId="5" priority="5" operator="equal">
      <formula>"Exceptional"</formula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showGridLines="0" workbookViewId="0"/>
  </sheetViews>
  <sheetFormatPr defaultRowHeight="15" x14ac:dyDescent="0.25"/>
  <cols>
    <col min="1" max="1" width="6" customWidth="1"/>
    <col min="2" max="2" width="28" customWidth="1"/>
    <col min="3" max="3" width="14" customWidth="1"/>
    <col min="4" max="5" width="18" customWidth="1"/>
  </cols>
  <sheetData>
    <row r="1" spans="1:5" ht="30" x14ac:dyDescent="0.25">
      <c r="A1" s="6" t="s">
        <v>18</v>
      </c>
      <c r="B1" s="6" t="s">
        <v>33</v>
      </c>
      <c r="C1" s="6" t="s">
        <v>316</v>
      </c>
      <c r="D1" s="6" t="s">
        <v>317</v>
      </c>
      <c r="E1" s="6" t="s">
        <v>339</v>
      </c>
    </row>
    <row r="2" spans="1:5" x14ac:dyDescent="0.25">
      <c r="A2" s="7">
        <v>1</v>
      </c>
      <c r="B2" s="7" t="s">
        <v>340</v>
      </c>
      <c r="C2" s="7" t="s">
        <v>341</v>
      </c>
      <c r="D2" s="7" t="s">
        <v>342</v>
      </c>
      <c r="E2" s="7" t="s">
        <v>343</v>
      </c>
    </row>
    <row r="3" spans="1:5" x14ac:dyDescent="0.25">
      <c r="A3" s="7">
        <v>2</v>
      </c>
      <c r="B3" s="7" t="s">
        <v>344</v>
      </c>
      <c r="C3" s="7" t="s">
        <v>341</v>
      </c>
      <c r="D3" s="7" t="s">
        <v>53</v>
      </c>
      <c r="E3" s="7" t="s">
        <v>345</v>
      </c>
    </row>
    <row r="4" spans="1:5" x14ac:dyDescent="0.25">
      <c r="A4" s="7">
        <v>3</v>
      </c>
      <c r="B4" s="7" t="s">
        <v>346</v>
      </c>
      <c r="C4" s="7" t="s">
        <v>347</v>
      </c>
      <c r="D4" s="7" t="s">
        <v>348</v>
      </c>
      <c r="E4" s="7" t="s">
        <v>349</v>
      </c>
    </row>
    <row r="5" spans="1:5" x14ac:dyDescent="0.25">
      <c r="A5" s="7">
        <v>4</v>
      </c>
      <c r="B5" s="7" t="s">
        <v>350</v>
      </c>
      <c r="C5" s="7" t="s">
        <v>347</v>
      </c>
      <c r="D5" s="7" t="s">
        <v>328</v>
      </c>
      <c r="E5" s="7" t="s">
        <v>351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26" customWidth="1"/>
    <col min="4" max="4" width="16" customWidth="1"/>
    <col min="5" max="5" width="10" customWidth="1"/>
    <col min="6" max="6" width="12" customWidth="1"/>
    <col min="7" max="7" width="9" customWidth="1"/>
    <col min="8" max="8" width="8" customWidth="1"/>
    <col min="9" max="9" width="11" customWidth="1"/>
    <col min="10" max="10" width="13" customWidth="1"/>
    <col min="11" max="11" width="10" customWidth="1"/>
  </cols>
  <sheetData>
    <row r="1" spans="1:11" ht="30" x14ac:dyDescent="0.25">
      <c r="A1" s="6" t="s">
        <v>304</v>
      </c>
      <c r="B1" s="6" t="s">
        <v>305</v>
      </c>
      <c r="C1" s="6" t="s">
        <v>352</v>
      </c>
      <c r="D1" s="6" t="s">
        <v>339</v>
      </c>
      <c r="E1" s="6" t="s">
        <v>353</v>
      </c>
      <c r="F1" s="6" t="s">
        <v>354</v>
      </c>
      <c r="G1" s="6" t="s">
        <v>355</v>
      </c>
      <c r="H1" s="6" t="s">
        <v>256</v>
      </c>
      <c r="I1" s="6" t="s">
        <v>336</v>
      </c>
      <c r="J1" s="6" t="s">
        <v>337</v>
      </c>
      <c r="K1" s="6" t="s">
        <v>338</v>
      </c>
    </row>
    <row r="2" spans="1:11" x14ac:dyDescent="0.25">
      <c r="A2" s="7" t="s">
        <v>272</v>
      </c>
      <c r="B2" s="7" t="s">
        <v>28</v>
      </c>
      <c r="C2" s="7" t="s">
        <v>344</v>
      </c>
      <c r="D2" s="7" t="s">
        <v>345</v>
      </c>
      <c r="E2" s="7">
        <v>2</v>
      </c>
      <c r="F2" s="7">
        <v>2</v>
      </c>
      <c r="G2" s="7">
        <v>2</v>
      </c>
      <c r="H2" s="7">
        <f t="shared" ref="H2:H17" si="0">E2+F2+G2</f>
        <v>6</v>
      </c>
      <c r="I2" s="7">
        <f t="shared" ref="I2:I17" si="1">VLOOKUP(H2,Value_MinTable,2,TRUE)</f>
        <v>13</v>
      </c>
      <c r="J2" s="7" t="str">
        <f t="shared" ref="J2:J17" si="2">VLOOKUP(I2,Value_IdTable,4,FALSE)</f>
        <v>Moderate</v>
      </c>
      <c r="K2" s="7" t="str">
        <f t="shared" ref="K2:K17" si="3">VLOOKUP(I2,Value_IdTable,5,FALSE)</f>
        <v>FFFFEB84</v>
      </c>
    </row>
    <row r="3" spans="1:11" x14ac:dyDescent="0.25">
      <c r="A3" s="7" t="s">
        <v>274</v>
      </c>
      <c r="B3" s="7" t="s">
        <v>30</v>
      </c>
      <c r="C3" s="7" t="s">
        <v>346</v>
      </c>
      <c r="D3" s="7" t="s">
        <v>349</v>
      </c>
      <c r="E3" s="7">
        <v>2</v>
      </c>
      <c r="F3" s="7">
        <v>2</v>
      </c>
      <c r="G3" s="7">
        <v>2</v>
      </c>
      <c r="H3" s="7">
        <f t="shared" si="0"/>
        <v>6</v>
      </c>
      <c r="I3" s="7">
        <f t="shared" si="1"/>
        <v>13</v>
      </c>
      <c r="J3" s="7" t="str">
        <f t="shared" si="2"/>
        <v>Moderate</v>
      </c>
      <c r="K3" s="7" t="str">
        <f t="shared" si="3"/>
        <v>FFFFEB84</v>
      </c>
    </row>
    <row r="4" spans="1:11" x14ac:dyDescent="0.25">
      <c r="A4" s="7" t="s">
        <v>275</v>
      </c>
      <c r="B4" s="7" t="s">
        <v>24</v>
      </c>
      <c r="C4" s="7" t="s">
        <v>350</v>
      </c>
      <c r="D4" s="7" t="s">
        <v>351</v>
      </c>
      <c r="E4" s="7">
        <v>3</v>
      </c>
      <c r="F4" s="7">
        <v>3</v>
      </c>
      <c r="G4" s="7">
        <v>1</v>
      </c>
      <c r="H4" s="7">
        <f t="shared" si="0"/>
        <v>7</v>
      </c>
      <c r="I4" s="7">
        <f t="shared" si="1"/>
        <v>13</v>
      </c>
      <c r="J4" s="7" t="str">
        <f t="shared" si="2"/>
        <v>Moderate</v>
      </c>
      <c r="K4" s="7" t="str">
        <f t="shared" si="3"/>
        <v>FFFFEB84</v>
      </c>
    </row>
    <row r="5" spans="1:11" x14ac:dyDescent="0.25">
      <c r="A5" s="7" t="s">
        <v>276</v>
      </c>
      <c r="B5" s="7" t="s">
        <v>32</v>
      </c>
      <c r="C5" s="7" t="s">
        <v>350</v>
      </c>
      <c r="D5" s="7" t="s">
        <v>351</v>
      </c>
      <c r="E5" s="7">
        <v>2</v>
      </c>
      <c r="F5" s="7">
        <v>4</v>
      </c>
      <c r="G5" s="7">
        <v>3</v>
      </c>
      <c r="H5" s="7">
        <f t="shared" si="0"/>
        <v>9</v>
      </c>
      <c r="I5" s="7">
        <f t="shared" si="1"/>
        <v>14</v>
      </c>
      <c r="J5" s="7" t="str">
        <f t="shared" si="2"/>
        <v>Significant</v>
      </c>
      <c r="K5" s="7" t="str">
        <f t="shared" si="3"/>
        <v>FFA9D18E</v>
      </c>
    </row>
    <row r="6" spans="1:11" x14ac:dyDescent="0.25">
      <c r="A6" s="7" t="s">
        <v>277</v>
      </c>
      <c r="B6" s="7" t="s">
        <v>28</v>
      </c>
      <c r="C6" s="7" t="s">
        <v>344</v>
      </c>
      <c r="D6" s="7" t="s">
        <v>345</v>
      </c>
      <c r="E6" s="7">
        <v>2</v>
      </c>
      <c r="F6" s="7">
        <v>0</v>
      </c>
      <c r="G6" s="7">
        <v>2</v>
      </c>
      <c r="H6" s="7">
        <f t="shared" si="0"/>
        <v>4</v>
      </c>
      <c r="I6" s="7">
        <f t="shared" si="1"/>
        <v>12</v>
      </c>
      <c r="J6" s="7" t="str">
        <f t="shared" si="2"/>
        <v>Limited</v>
      </c>
      <c r="K6" s="7" t="str">
        <f t="shared" si="3"/>
        <v>FFF4B183</v>
      </c>
    </row>
    <row r="7" spans="1:11" x14ac:dyDescent="0.25">
      <c r="A7" s="7" t="s">
        <v>278</v>
      </c>
      <c r="B7" s="7" t="s">
        <v>30</v>
      </c>
      <c r="C7" s="7" t="s">
        <v>346</v>
      </c>
      <c r="D7" s="7" t="s">
        <v>349</v>
      </c>
      <c r="E7" s="7">
        <v>2</v>
      </c>
      <c r="F7" s="7">
        <v>3</v>
      </c>
      <c r="G7" s="7">
        <v>2</v>
      </c>
      <c r="H7" s="7">
        <f t="shared" si="0"/>
        <v>7</v>
      </c>
      <c r="I7" s="7">
        <f t="shared" si="1"/>
        <v>13</v>
      </c>
      <c r="J7" s="7" t="str">
        <f t="shared" si="2"/>
        <v>Moderate</v>
      </c>
      <c r="K7" s="7" t="str">
        <f t="shared" si="3"/>
        <v>FFFFEB84</v>
      </c>
    </row>
    <row r="8" spans="1:11" x14ac:dyDescent="0.25">
      <c r="A8" s="7" t="s">
        <v>279</v>
      </c>
      <c r="B8" s="7" t="s">
        <v>32</v>
      </c>
      <c r="C8" s="7" t="s">
        <v>350</v>
      </c>
      <c r="D8" s="7" t="s">
        <v>351</v>
      </c>
      <c r="E8" s="7">
        <v>2</v>
      </c>
      <c r="F8" s="7">
        <v>3</v>
      </c>
      <c r="G8" s="7">
        <v>2</v>
      </c>
      <c r="H8" s="7">
        <f t="shared" si="0"/>
        <v>7</v>
      </c>
      <c r="I8" s="7">
        <f t="shared" si="1"/>
        <v>13</v>
      </c>
      <c r="J8" s="7" t="str">
        <f t="shared" si="2"/>
        <v>Moderate</v>
      </c>
      <c r="K8" s="7" t="str">
        <f t="shared" si="3"/>
        <v>FFFFEB84</v>
      </c>
    </row>
    <row r="9" spans="1:11" x14ac:dyDescent="0.25">
      <c r="A9" s="7" t="s">
        <v>280</v>
      </c>
      <c r="B9" s="7" t="s">
        <v>24</v>
      </c>
      <c r="C9" s="7" t="s">
        <v>346</v>
      </c>
      <c r="D9" s="7" t="s">
        <v>349</v>
      </c>
      <c r="E9" s="7">
        <v>2</v>
      </c>
      <c r="F9" s="7">
        <v>2</v>
      </c>
      <c r="G9" s="7">
        <v>1</v>
      </c>
      <c r="H9" s="7">
        <f t="shared" si="0"/>
        <v>5</v>
      </c>
      <c r="I9" s="7">
        <f t="shared" si="1"/>
        <v>12</v>
      </c>
      <c r="J9" s="7" t="str">
        <f t="shared" si="2"/>
        <v>Limited</v>
      </c>
      <c r="K9" s="7" t="str">
        <f t="shared" si="3"/>
        <v>FFF4B183</v>
      </c>
    </row>
    <row r="10" spans="1:11" x14ac:dyDescent="0.25">
      <c r="A10" s="7" t="s">
        <v>281</v>
      </c>
      <c r="B10" s="7" t="s">
        <v>24</v>
      </c>
      <c r="C10" s="7" t="s">
        <v>344</v>
      </c>
      <c r="D10" s="7" t="s">
        <v>345</v>
      </c>
      <c r="E10" s="7">
        <v>1</v>
      </c>
      <c r="F10" s="7">
        <v>3</v>
      </c>
      <c r="G10" s="7">
        <v>4</v>
      </c>
      <c r="H10" s="7">
        <f t="shared" si="0"/>
        <v>8</v>
      </c>
      <c r="I10" s="7">
        <f t="shared" si="1"/>
        <v>13</v>
      </c>
      <c r="J10" s="7" t="str">
        <f t="shared" si="2"/>
        <v>Moderate</v>
      </c>
      <c r="K10" s="7" t="str">
        <f t="shared" si="3"/>
        <v>FFFFEB84</v>
      </c>
    </row>
    <row r="11" spans="1:11" x14ac:dyDescent="0.25">
      <c r="A11" s="7" t="s">
        <v>282</v>
      </c>
      <c r="B11" s="7" t="s">
        <v>30</v>
      </c>
      <c r="C11" s="7" t="s">
        <v>346</v>
      </c>
      <c r="D11" s="7" t="s">
        <v>349</v>
      </c>
      <c r="E11" s="7">
        <v>1</v>
      </c>
      <c r="F11" s="7">
        <v>2</v>
      </c>
      <c r="G11" s="7">
        <v>3</v>
      </c>
      <c r="H11" s="7">
        <f t="shared" si="0"/>
        <v>6</v>
      </c>
      <c r="I11" s="7">
        <f t="shared" si="1"/>
        <v>13</v>
      </c>
      <c r="J11" s="7" t="str">
        <f t="shared" si="2"/>
        <v>Moderate</v>
      </c>
      <c r="K11" s="7" t="str">
        <f t="shared" si="3"/>
        <v>FFFFEB84</v>
      </c>
    </row>
    <row r="12" spans="1:11" x14ac:dyDescent="0.25">
      <c r="A12" s="7" t="s">
        <v>283</v>
      </c>
      <c r="B12" s="7" t="s">
        <v>26</v>
      </c>
      <c r="C12" s="7" t="s">
        <v>344</v>
      </c>
      <c r="D12" s="7" t="s">
        <v>345</v>
      </c>
      <c r="E12" s="7">
        <v>5</v>
      </c>
      <c r="F12" s="7">
        <v>4</v>
      </c>
      <c r="G12" s="7">
        <v>2</v>
      </c>
      <c r="H12" s="7">
        <f t="shared" si="0"/>
        <v>11</v>
      </c>
      <c r="I12" s="7">
        <f t="shared" si="1"/>
        <v>14</v>
      </c>
      <c r="J12" s="7" t="str">
        <f t="shared" si="2"/>
        <v>Significant</v>
      </c>
      <c r="K12" s="7" t="str">
        <f t="shared" si="3"/>
        <v>FFA9D18E</v>
      </c>
    </row>
    <row r="13" spans="1:11" x14ac:dyDescent="0.25">
      <c r="A13" s="7" t="s">
        <v>284</v>
      </c>
      <c r="B13" s="7" t="s">
        <v>22</v>
      </c>
      <c r="C13" s="7" t="s">
        <v>340</v>
      </c>
      <c r="D13" s="7" t="s">
        <v>343</v>
      </c>
      <c r="E13" s="7">
        <v>2</v>
      </c>
      <c r="F13" s="7">
        <v>3</v>
      </c>
      <c r="G13" s="7">
        <v>1</v>
      </c>
      <c r="H13" s="7">
        <f t="shared" si="0"/>
        <v>6</v>
      </c>
      <c r="I13" s="7">
        <f t="shared" si="1"/>
        <v>13</v>
      </c>
      <c r="J13" s="7" t="str">
        <f t="shared" si="2"/>
        <v>Moderate</v>
      </c>
      <c r="K13" s="7" t="str">
        <f t="shared" si="3"/>
        <v>FFFFEB84</v>
      </c>
    </row>
    <row r="14" spans="1:11" x14ac:dyDescent="0.25">
      <c r="A14" s="7" t="s">
        <v>285</v>
      </c>
      <c r="B14" s="7" t="s">
        <v>28</v>
      </c>
      <c r="C14" s="7" t="s">
        <v>340</v>
      </c>
      <c r="D14" s="7" t="s">
        <v>343</v>
      </c>
      <c r="E14" s="7">
        <v>3</v>
      </c>
      <c r="F14" s="7">
        <v>3</v>
      </c>
      <c r="G14" s="7">
        <v>1</v>
      </c>
      <c r="H14" s="7">
        <f t="shared" si="0"/>
        <v>7</v>
      </c>
      <c r="I14" s="7">
        <f t="shared" si="1"/>
        <v>13</v>
      </c>
      <c r="J14" s="7" t="str">
        <f t="shared" si="2"/>
        <v>Moderate</v>
      </c>
      <c r="K14" s="7" t="str">
        <f t="shared" si="3"/>
        <v>FFFFEB84</v>
      </c>
    </row>
    <row r="15" spans="1:11" x14ac:dyDescent="0.25">
      <c r="A15" s="7" t="s">
        <v>286</v>
      </c>
      <c r="B15" s="7" t="s">
        <v>28</v>
      </c>
      <c r="C15" s="7" t="s">
        <v>346</v>
      </c>
      <c r="D15" s="7" t="s">
        <v>349</v>
      </c>
      <c r="E15" s="7">
        <v>4</v>
      </c>
      <c r="F15" s="7">
        <v>3</v>
      </c>
      <c r="G15" s="7">
        <v>2</v>
      </c>
      <c r="H15" s="7">
        <f t="shared" si="0"/>
        <v>9</v>
      </c>
      <c r="I15" s="7">
        <f t="shared" si="1"/>
        <v>14</v>
      </c>
      <c r="J15" s="7" t="str">
        <f t="shared" si="2"/>
        <v>Significant</v>
      </c>
      <c r="K15" s="7" t="str">
        <f t="shared" si="3"/>
        <v>FFA9D18E</v>
      </c>
    </row>
    <row r="16" spans="1:11" x14ac:dyDescent="0.25">
      <c r="A16" s="7" t="s">
        <v>287</v>
      </c>
      <c r="B16" s="7" t="s">
        <v>28</v>
      </c>
      <c r="C16" s="7" t="s">
        <v>340</v>
      </c>
      <c r="D16" s="7" t="s">
        <v>343</v>
      </c>
      <c r="E16" s="7">
        <v>1</v>
      </c>
      <c r="F16" s="7">
        <v>0</v>
      </c>
      <c r="G16" s="7">
        <v>5</v>
      </c>
      <c r="H16" s="7">
        <f t="shared" si="0"/>
        <v>6</v>
      </c>
      <c r="I16" s="7">
        <f t="shared" si="1"/>
        <v>13</v>
      </c>
      <c r="J16" s="7" t="str">
        <f t="shared" si="2"/>
        <v>Moderate</v>
      </c>
      <c r="K16" s="7" t="str">
        <f t="shared" si="3"/>
        <v>FFFFEB84</v>
      </c>
    </row>
    <row r="17" spans="1:11" x14ac:dyDescent="0.25">
      <c r="A17" s="7" t="s">
        <v>288</v>
      </c>
      <c r="B17" s="7" t="s">
        <v>32</v>
      </c>
      <c r="C17" s="7" t="s">
        <v>340</v>
      </c>
      <c r="D17" s="7" t="s">
        <v>343</v>
      </c>
      <c r="E17" s="7">
        <v>4</v>
      </c>
      <c r="F17" s="7">
        <v>2</v>
      </c>
      <c r="G17" s="7">
        <v>1</v>
      </c>
      <c r="H17" s="7">
        <f t="shared" si="0"/>
        <v>7</v>
      </c>
      <c r="I17" s="7">
        <f t="shared" si="1"/>
        <v>13</v>
      </c>
      <c r="J17" s="7" t="str">
        <f t="shared" si="2"/>
        <v>Moderate</v>
      </c>
      <c r="K17" s="7" t="str">
        <f t="shared" si="3"/>
        <v>FFFFEB84</v>
      </c>
    </row>
  </sheetData>
  <conditionalFormatting sqref="J2:J17">
    <cfRule type="cellIs" dxfId="4" priority="1" operator="equal">
      <formula>"Minimal"</formula>
    </cfRule>
    <cfRule type="cellIs" dxfId="3" priority="2" operator="equal">
      <formula>"Limited"</formula>
    </cfRule>
    <cfRule type="cellIs" dxfId="2" priority="3" operator="equal">
      <formula>"Moderate"</formula>
    </cfRule>
    <cfRule type="cellIs" dxfId="1" priority="4" operator="equal">
      <formula>"Significant"</formula>
    </cfRule>
    <cfRule type="cellIs" dxfId="0" priority="5" operator="equal">
      <formula>"Exceptional"</formula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showGridLines="0" workbookViewId="0"/>
  </sheetViews>
  <sheetFormatPr defaultRowHeight="15" x14ac:dyDescent="0.25"/>
  <cols>
    <col min="1" max="1" width="10" customWidth="1"/>
    <col min="2" max="2" width="6" customWidth="1"/>
    <col min="3" max="3" width="14" customWidth="1"/>
    <col min="4" max="4" width="10" customWidth="1"/>
    <col min="5" max="5" width="14" customWidth="1"/>
    <col min="6" max="6" width="12" customWidth="1"/>
    <col min="7" max="7" width="4" customWidth="1"/>
  </cols>
  <sheetData>
    <row r="1" spans="1:7" x14ac:dyDescent="0.25">
      <c r="A1" s="18" t="s">
        <v>356</v>
      </c>
      <c r="B1" s="19"/>
      <c r="C1" s="19"/>
      <c r="D1" s="19"/>
      <c r="E1" s="19"/>
      <c r="F1" s="19"/>
    </row>
    <row r="3" spans="1:7" ht="30" x14ac:dyDescent="0.25">
      <c r="A3" s="6" t="s">
        <v>357</v>
      </c>
      <c r="B3" s="6" t="s">
        <v>18</v>
      </c>
      <c r="C3" s="6" t="s">
        <v>358</v>
      </c>
      <c r="D3" s="6" t="s">
        <v>359</v>
      </c>
      <c r="E3" s="6" t="s">
        <v>360</v>
      </c>
      <c r="F3" s="6" t="s">
        <v>361</v>
      </c>
    </row>
    <row r="4" spans="1:7" x14ac:dyDescent="0.25">
      <c r="A4" s="7">
        <v>0</v>
      </c>
      <c r="B4" s="7">
        <v>1</v>
      </c>
      <c r="C4" s="7" t="s">
        <v>310</v>
      </c>
      <c r="D4" s="7">
        <v>5</v>
      </c>
      <c r="E4" s="7" t="s">
        <v>362</v>
      </c>
      <c r="F4" s="7" t="s">
        <v>363</v>
      </c>
      <c r="G4" s="8"/>
    </row>
    <row r="5" spans="1:7" x14ac:dyDescent="0.25">
      <c r="A5" s="7">
        <v>5</v>
      </c>
      <c r="B5" s="7">
        <v>2</v>
      </c>
      <c r="C5" s="7" t="s">
        <v>310</v>
      </c>
      <c r="D5" s="7">
        <v>10</v>
      </c>
      <c r="E5" s="7" t="s">
        <v>364</v>
      </c>
      <c r="F5" s="7" t="s">
        <v>365</v>
      </c>
      <c r="G5" s="9"/>
    </row>
    <row r="6" spans="1:7" x14ac:dyDescent="0.25">
      <c r="A6" s="7">
        <v>10</v>
      </c>
      <c r="B6" s="7">
        <v>3</v>
      </c>
      <c r="C6" s="7" t="s">
        <v>310</v>
      </c>
      <c r="D6" s="7">
        <v>15</v>
      </c>
      <c r="E6" s="7" t="s">
        <v>366</v>
      </c>
      <c r="F6" s="7" t="s">
        <v>367</v>
      </c>
      <c r="G6" s="10"/>
    </row>
    <row r="7" spans="1:7" x14ac:dyDescent="0.25">
      <c r="A7" s="7">
        <v>15</v>
      </c>
      <c r="B7" s="7">
        <v>4</v>
      </c>
      <c r="C7" s="7" t="s">
        <v>310</v>
      </c>
      <c r="D7" s="7">
        <v>20</v>
      </c>
      <c r="E7" s="7" t="s">
        <v>368</v>
      </c>
      <c r="F7" s="7" t="s">
        <v>369</v>
      </c>
      <c r="G7" s="11"/>
    </row>
    <row r="8" spans="1:7" x14ac:dyDescent="0.25">
      <c r="A8" s="7">
        <v>20</v>
      </c>
      <c r="B8" s="7">
        <v>5</v>
      </c>
      <c r="C8" s="7" t="s">
        <v>310</v>
      </c>
      <c r="D8" s="7">
        <v>25</v>
      </c>
      <c r="E8" s="7" t="s">
        <v>370</v>
      </c>
      <c r="F8" s="7" t="s">
        <v>371</v>
      </c>
      <c r="G8" s="12"/>
    </row>
    <row r="9" spans="1:7" x14ac:dyDescent="0.25">
      <c r="A9" s="7">
        <v>0</v>
      </c>
      <c r="B9" s="7">
        <v>6</v>
      </c>
      <c r="C9" s="7" t="s">
        <v>236</v>
      </c>
      <c r="D9" s="7">
        <v>5</v>
      </c>
      <c r="E9" s="7" t="s">
        <v>372</v>
      </c>
      <c r="F9" s="7" t="s">
        <v>373</v>
      </c>
      <c r="G9" s="13"/>
    </row>
    <row r="10" spans="1:7" x14ac:dyDescent="0.25">
      <c r="A10" s="7">
        <v>5</v>
      </c>
      <c r="B10" s="7">
        <v>7</v>
      </c>
      <c r="C10" s="7" t="s">
        <v>236</v>
      </c>
      <c r="D10" s="7">
        <v>10</v>
      </c>
      <c r="E10" s="7" t="s">
        <v>364</v>
      </c>
      <c r="F10" s="7" t="s">
        <v>374</v>
      </c>
      <c r="G10" s="14"/>
    </row>
    <row r="11" spans="1:7" x14ac:dyDescent="0.25">
      <c r="A11" s="7">
        <v>10</v>
      </c>
      <c r="B11" s="7">
        <v>8</v>
      </c>
      <c r="C11" s="7" t="s">
        <v>236</v>
      </c>
      <c r="D11" s="7">
        <v>15</v>
      </c>
      <c r="E11" s="7" t="s">
        <v>366</v>
      </c>
      <c r="F11" s="7" t="s">
        <v>375</v>
      </c>
      <c r="G11" s="15"/>
    </row>
    <row r="12" spans="1:7" x14ac:dyDescent="0.25">
      <c r="A12" s="7">
        <v>15</v>
      </c>
      <c r="B12" s="7">
        <v>9</v>
      </c>
      <c r="C12" s="7" t="s">
        <v>236</v>
      </c>
      <c r="D12" s="7">
        <v>20</v>
      </c>
      <c r="E12" s="7" t="s">
        <v>368</v>
      </c>
      <c r="F12" s="7" t="s">
        <v>376</v>
      </c>
      <c r="G12" s="16"/>
    </row>
    <row r="13" spans="1:7" x14ac:dyDescent="0.25">
      <c r="A13" s="7">
        <v>20</v>
      </c>
      <c r="B13" s="7">
        <v>10</v>
      </c>
      <c r="C13" s="7" t="s">
        <v>236</v>
      </c>
      <c r="D13" s="7">
        <v>25</v>
      </c>
      <c r="E13" s="7" t="s">
        <v>370</v>
      </c>
      <c r="F13" s="7" t="s">
        <v>377</v>
      </c>
      <c r="G13" s="17"/>
    </row>
    <row r="14" spans="1:7" x14ac:dyDescent="0.25">
      <c r="A14" s="7">
        <v>0</v>
      </c>
      <c r="B14" s="7">
        <v>11</v>
      </c>
      <c r="C14" s="7" t="s">
        <v>256</v>
      </c>
      <c r="D14" s="7">
        <v>3</v>
      </c>
      <c r="E14" s="7" t="s">
        <v>372</v>
      </c>
      <c r="F14" s="7" t="s">
        <v>377</v>
      </c>
      <c r="G14" s="17"/>
    </row>
    <row r="15" spans="1:7" x14ac:dyDescent="0.25">
      <c r="A15" s="7">
        <v>3</v>
      </c>
      <c r="B15" s="7">
        <v>12</v>
      </c>
      <c r="C15" s="7" t="s">
        <v>256</v>
      </c>
      <c r="D15" s="7">
        <v>6</v>
      </c>
      <c r="E15" s="7" t="s">
        <v>378</v>
      </c>
      <c r="F15" s="7" t="s">
        <v>376</v>
      </c>
      <c r="G15" s="16"/>
    </row>
    <row r="16" spans="1:7" x14ac:dyDescent="0.25">
      <c r="A16" s="7">
        <v>6</v>
      </c>
      <c r="B16" s="7">
        <v>13</v>
      </c>
      <c r="C16" s="7" t="s">
        <v>256</v>
      </c>
      <c r="D16" s="7">
        <v>9</v>
      </c>
      <c r="E16" s="7" t="s">
        <v>366</v>
      </c>
      <c r="F16" s="7" t="s">
        <v>375</v>
      </c>
      <c r="G16" s="15"/>
    </row>
    <row r="17" spans="1:7" x14ac:dyDescent="0.25">
      <c r="A17" s="7">
        <v>9</v>
      </c>
      <c r="B17" s="7">
        <v>14</v>
      </c>
      <c r="C17" s="7" t="s">
        <v>256</v>
      </c>
      <c r="D17" s="7">
        <v>12</v>
      </c>
      <c r="E17" s="7" t="s">
        <v>379</v>
      </c>
      <c r="F17" s="7" t="s">
        <v>374</v>
      </c>
      <c r="G17" s="14"/>
    </row>
    <row r="18" spans="1:7" x14ac:dyDescent="0.25">
      <c r="A18" s="7">
        <v>12</v>
      </c>
      <c r="B18" s="7">
        <v>15</v>
      </c>
      <c r="C18" s="7" t="s">
        <v>256</v>
      </c>
      <c r="D18" s="7">
        <v>15</v>
      </c>
      <c r="E18" s="7" t="s">
        <v>380</v>
      </c>
      <c r="F18" s="7" t="s">
        <v>373</v>
      </c>
      <c r="G18" s="13"/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Instructions</vt:lpstr>
      <vt:lpstr>Centres</vt:lpstr>
      <vt:lpstr>Position</vt:lpstr>
      <vt:lpstr>Resources</vt:lpstr>
      <vt:lpstr>ResourceCentres</vt:lpstr>
      <vt:lpstr>Priority</vt:lpstr>
      <vt:lpstr>ProblemSet</vt:lpstr>
      <vt:lpstr>Tactical</vt:lpstr>
      <vt:lpstr>InitiativeType</vt:lpstr>
      <vt:lpstr>Initiative</vt:lpstr>
      <vt:lpstr>AssistanceType</vt:lpstr>
      <vt:lpstr>Assistance</vt:lpstr>
      <vt:lpstr>RatingLookup</vt:lpstr>
      <vt:lpstr>Likelihood_IdTable</vt:lpstr>
      <vt:lpstr>Likelihood_MinTable</vt:lpstr>
      <vt:lpstr>PriorityTitleList</vt:lpstr>
      <vt:lpstr>Risk_IdTable</vt:lpstr>
      <vt:lpstr>Risk_MinTable</vt:lpstr>
      <vt:lpstr>Value_IdTable</vt:lpstr>
      <vt:lpstr>Value_MinTable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 Nielsen</cp:lastModifiedBy>
  <dcterms:created xsi:type="dcterms:W3CDTF">2026-09-04T17:51:34Z</dcterms:created>
  <dcterms:modified xsi:type="dcterms:W3CDTF">2026-09-04T17:51:44Z</dcterms:modified>
</cp:coreProperties>
</file>